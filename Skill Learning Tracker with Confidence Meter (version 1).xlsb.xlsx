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tables/table2.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7ea5f280fae4580/Desktop/"/>
    </mc:Choice>
  </mc:AlternateContent>
  <xr:revisionPtr revIDLastSave="34" documentId="13_ncr:1_{4AC984A9-942D-4BE9-8F3E-01CC140C4BD0}" xr6:coauthVersionLast="47" xr6:coauthVersionMax="47" xr10:uidLastSave="{6F55B30C-F3B0-48F2-A67E-7CF077E7DB4C}"/>
  <bookViews>
    <workbookView minimized="1" xWindow="2688" yWindow="2688" windowWidth="17280" windowHeight="8880" tabRatio="946" xr2:uid="{9F63358F-9CD1-4A43-A433-309BB2CD1807}"/>
  </bookViews>
  <sheets>
    <sheet name="Dashboard" sheetId="11" r:id="rId1"/>
    <sheet name="Skill data" sheetId="1" r:id="rId2"/>
    <sheet name="Skill Progress Overview" sheetId="3" r:id="rId3"/>
    <sheet name="Time Spent per Skill" sheetId="13" r:id="rId4"/>
    <sheet name="Sheet1" sheetId="19" r:id="rId5"/>
    <sheet name="Sheet2" sheetId="20" r:id="rId6"/>
    <sheet name="Sheet3" sheetId="21" r:id="rId7"/>
    <sheet name="Average Confidence by Category" sheetId="18" r:id="rId8"/>
    <sheet name="Skills Added Monthly" sheetId="16" r:id="rId9"/>
    <sheet name="Top 5 Skills by Confidence" sheetId="17" r:id="rId10"/>
    <sheet name="Confidence Progress Over Time" sheetId="15" r:id="rId11"/>
    <sheet name="Project Info" sheetId="12" r:id="rId12"/>
    <sheet name="Skill Completion Status" sheetId="14" r:id="rId13"/>
    <sheet name="Sheet4" sheetId="22" r:id="rId14"/>
    <sheet name="Sheet5" sheetId="23" r:id="rId15"/>
    <sheet name="Sheet6" sheetId="24" r:id="rId16"/>
    <sheet name="Sheet7" sheetId="25" r:id="rId17"/>
  </sheets>
  <externalReferences>
    <externalReference r:id="rId18"/>
  </externalReferences>
  <definedNames>
    <definedName name="Slicer_Confidence">#N/A</definedName>
    <definedName name="Slicer_Skill_Name">#N/A</definedName>
    <definedName name="Slicer_Status">#N/A</definedName>
    <definedName name="Slicer_Time_Spent__hrs">#N/A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9" l="1"/>
  <c r="B6" i="19"/>
  <c r="B5" i="19"/>
  <c r="B4" i="19"/>
  <c r="B3" i="19"/>
</calcChain>
</file>

<file path=xl/sharedStrings.xml><?xml version="1.0" encoding="utf-8"?>
<sst xmlns="http://schemas.openxmlformats.org/spreadsheetml/2006/main" count="1573" uniqueCount="80">
  <si>
    <t>S.No</t>
  </si>
  <si>
    <t>Skill Name</t>
  </si>
  <si>
    <t>Start Date</t>
  </si>
  <si>
    <t>Target Date</t>
  </si>
  <si>
    <t>Time Spent (hrs)</t>
  </si>
  <si>
    <t>Current Level (1-10)</t>
  </si>
  <si>
    <t>Confidence %</t>
  </si>
  <si>
    <t>Status</t>
  </si>
  <si>
    <t>Remarks</t>
  </si>
  <si>
    <t>Tableau</t>
  </si>
  <si>
    <t>Started</t>
  </si>
  <si>
    <t>Need more practice</t>
  </si>
  <si>
    <t>English Grammar</t>
  </si>
  <si>
    <t>Completed</t>
  </si>
  <si>
    <t>Struggling a bit</t>
  </si>
  <si>
    <t>MS Word</t>
  </si>
  <si>
    <t>In Progress</t>
  </si>
  <si>
    <t>Dashboard Design</t>
  </si>
  <si>
    <t>Email Writing</t>
  </si>
  <si>
    <t>Starting soon</t>
  </si>
  <si>
    <t>Communication</t>
  </si>
  <si>
    <t>Improved a lot</t>
  </si>
  <si>
    <t>Public Speaking</t>
  </si>
  <si>
    <t>Power BI</t>
  </si>
  <si>
    <t>Watching tutorials</t>
  </si>
  <si>
    <t>Not Started</t>
  </si>
  <si>
    <t>Almost done</t>
  </si>
  <si>
    <t>Statistics</t>
  </si>
  <si>
    <t>Time Management</t>
  </si>
  <si>
    <t>Critical Thinking</t>
  </si>
  <si>
    <t>GitHub</t>
  </si>
  <si>
    <t>Python</t>
  </si>
  <si>
    <t>Excel</t>
  </si>
  <si>
    <t>Machine Learning</t>
  </si>
  <si>
    <t>SQL</t>
  </si>
  <si>
    <t>Doing daily</t>
  </si>
  <si>
    <t>Problem Solving</t>
  </si>
  <si>
    <t>Data Cleaning</t>
  </si>
  <si>
    <t>Row Labels</t>
  </si>
  <si>
    <t>Grand Total</t>
  </si>
  <si>
    <t>Count of Skill Name</t>
  </si>
  <si>
    <t>Sum of Time Spent (hrs)</t>
  </si>
  <si>
    <t>Learning Insights Overview</t>
  </si>
  <si>
    <t>Value</t>
  </si>
  <si>
    <t>🧠 Total Skills</t>
  </si>
  <si>
    <t xml:space="preserve">    🔄 In Progress</t>
  </si>
  <si>
    <t xml:space="preserve">   ✅ Skills Completed  </t>
  </si>
  <si>
    <t xml:space="preserve">     📈 Avg Confidence    </t>
  </si>
  <si>
    <t xml:space="preserve">⏱️ Time Spent       </t>
  </si>
  <si>
    <t>Skill Status</t>
  </si>
  <si>
    <t>Count</t>
  </si>
  <si>
    <t>Average of Confidence %</t>
  </si>
  <si>
    <t>Jun</t>
  </si>
  <si>
    <t>Skill Learning Insights Dashboard</t>
  </si>
  <si>
    <t>Skill Learning Tracker Dashboard</t>
  </si>
  <si>
    <r>
      <t xml:space="preserve">         </t>
    </r>
    <r>
      <rPr>
        <b/>
        <sz val="20"/>
        <color theme="1"/>
        <rFont val="Aptos Narrow"/>
        <family val="2"/>
        <scheme val="minor"/>
      </rPr>
      <t>Objective</t>
    </r>
  </si>
  <si>
    <t xml:space="preserve">    Tools Used</t>
  </si>
  <si>
    <t xml:space="preserve">     Conditional Formatting</t>
  </si>
  <si>
    <t xml:space="preserve">     Slicers for interactivity</t>
  </si>
  <si>
    <t xml:space="preserve">     Formulas: COUNTIF, AVERAGEIFS, SUMIFS</t>
  </si>
  <si>
    <t xml:space="preserve">     Charts: Column, Donut, Line</t>
  </si>
  <si>
    <r>
      <t xml:space="preserve">     </t>
    </r>
    <r>
      <rPr>
        <sz val="14"/>
        <color theme="1"/>
        <rFont val="Aptos Narrow"/>
        <family val="2"/>
        <scheme val="minor"/>
      </rPr>
      <t>To track and visualize learning progress across multiple skills using an interactive Excel dashboard. The aim is to monitor time spent, confidence levels, and completion status for better self-analysis.</t>
    </r>
  </si>
  <si>
    <t xml:space="preserve"> </t>
  </si>
  <si>
    <r>
      <t xml:space="preserve">       </t>
    </r>
    <r>
      <rPr>
        <sz val="14"/>
        <color theme="1"/>
        <rFont val="Aptos Narrow"/>
        <family val="2"/>
        <scheme val="minor"/>
      </rPr>
      <t>Excel Tables</t>
    </r>
  </si>
  <si>
    <r>
      <t xml:space="preserve">    </t>
    </r>
    <r>
      <rPr>
        <sz val="14"/>
        <color theme="1"/>
        <rFont val="Aptos Narrow"/>
        <family val="2"/>
        <scheme val="minor"/>
      </rPr>
      <t xml:space="preserve"> Pivot Tables</t>
    </r>
  </si>
  <si>
    <t>KPI</t>
  </si>
  <si>
    <t>Total Skills Tracked</t>
  </si>
  <si>
    <t>Skills Completed</t>
  </si>
  <si>
    <t>Average Confidence</t>
  </si>
  <si>
    <t>Total Time Spent</t>
  </si>
  <si>
    <r>
      <t xml:space="preserve"> </t>
    </r>
    <r>
      <rPr>
        <b/>
        <sz val="16"/>
        <color theme="1"/>
        <rFont val="Aptos Narrow"/>
        <family val="2"/>
        <scheme val="minor"/>
      </rPr>
      <t>Insights</t>
    </r>
  </si>
  <si>
    <t>Most time spent on: Python</t>
  </si>
  <si>
    <t xml:space="preserve">Highest confidence in: Excel
</t>
  </si>
  <si>
    <t>Least confident in: Public Speaking</t>
  </si>
  <si>
    <t>Still In Progress: Machine Learning, Tableau</t>
  </si>
  <si>
    <t>Outcome</t>
  </si>
  <si>
    <t>Identifying weak skill areas</t>
  </si>
  <si>
    <r>
      <rPr>
        <sz val="14"/>
        <color theme="1"/>
        <rFont val="Aptos Narrow"/>
        <family val="2"/>
        <scheme val="minor"/>
      </rPr>
      <t>Focusing on high-priority skills</t>
    </r>
    <r>
      <rPr>
        <sz val="11"/>
        <color theme="1"/>
        <rFont val="Aptos Narrow"/>
        <family val="2"/>
        <scheme val="minor"/>
      </rPr>
      <t xml:space="preserve">
</t>
    </r>
  </si>
  <si>
    <r>
      <rPr>
        <sz val="14"/>
        <color theme="1"/>
        <rFont val="Aptos Narrow"/>
        <family val="2"/>
        <scheme val="minor"/>
      </rPr>
      <t>Building discipline and measurable learning plans</t>
    </r>
    <r>
      <rPr>
        <sz val="11"/>
        <color theme="1"/>
        <rFont val="Aptos Narrow"/>
        <family val="2"/>
        <scheme val="minor"/>
      </rPr>
      <t xml:space="preserve">
</t>
    </r>
  </si>
  <si>
    <r>
      <rPr>
        <b/>
        <sz val="16"/>
        <color theme="1"/>
        <rFont val="Aptos Narrow"/>
        <family val="2"/>
        <scheme val="minor"/>
      </rPr>
      <t>Value</t>
    </r>
    <r>
      <rPr>
        <sz val="18"/>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</si>
</sst>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6100"/>
      <name val="Aptos Narrow"/>
      <family val="2"/>
      <scheme val="minor"/>
    </font>
    <font>
      <sz val="12"/>
      <color theme="1"/>
      <name val="Aptos Narrow"/>
      <family val="2"/>
      <scheme val="minor"/>
    </font>
    <font>
      <sz val="14"/>
      <color rgb="FF006100"/>
      <name val="Aptos Narrow"/>
      <family val="2"/>
      <scheme val="minor"/>
    </font>
    <font>
      <sz val="14"/>
      <color theme="1"/>
      <name val="Aptos Narrow"/>
      <family val="2"/>
      <scheme val="minor"/>
    </font>
    <font>
      <sz val="14"/>
      <color theme="1" tint="0.499984740745262"/>
      <name val="Aptos Narrow"/>
      <family val="2"/>
      <scheme val="minor"/>
    </font>
    <font>
      <b/>
      <sz val="14"/>
      <color theme="1" tint="0.499984740745262"/>
      <name val="Aptos Narrow"/>
      <family val="2"/>
      <scheme val="minor"/>
    </font>
    <font>
      <sz val="36"/>
      <color theme="1"/>
      <name val="Aptos Narrow"/>
      <family val="2"/>
      <scheme val="minor"/>
    </font>
    <font>
      <sz val="16"/>
      <color theme="1"/>
      <name val="Aptos Narrow"/>
      <family val="2"/>
      <scheme val="minor"/>
    </font>
    <font>
      <sz val="18"/>
      <color theme="1"/>
      <name val="Aptos Narrow"/>
      <family val="2"/>
      <scheme val="minor"/>
    </font>
    <font>
      <b/>
      <sz val="13.5"/>
      <color theme="1"/>
      <name val="Aptos Narrow"/>
      <family val="2"/>
      <scheme val="minor"/>
    </font>
    <font>
      <b/>
      <sz val="16"/>
      <color theme="1"/>
      <name val="Aptos Narrow"/>
      <family val="2"/>
      <scheme val="minor"/>
    </font>
    <font>
      <b/>
      <sz val="18"/>
      <color theme="1"/>
      <name val="Aptos Narrow"/>
      <family val="2"/>
      <scheme val="minor"/>
    </font>
    <font>
      <b/>
      <sz val="20"/>
      <color theme="1"/>
      <name val="Aptos Narrow"/>
      <family val="2"/>
      <scheme val="minor"/>
    </font>
    <font>
      <b/>
      <sz val="11"/>
      <color theme="0"/>
      <name val="Aptos Narrow"/>
      <family val="2"/>
      <scheme val="minor"/>
    </font>
    <font>
      <b/>
      <sz val="14"/>
      <color theme="1"/>
      <name val="Aptos Narrow"/>
      <family val="2"/>
      <scheme val="minor"/>
    </font>
    <font>
      <b/>
      <sz val="48"/>
      <color theme="4" tint="-0.249977111117893"/>
      <name val="Aptos Narrow"/>
      <family val="2"/>
      <scheme val="minor"/>
    </font>
  </fonts>
  <fills count="8">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theme="0" tint="-4.9989318521683403E-2"/>
        <bgColor theme="4"/>
      </patternFill>
    </fill>
    <fill>
      <patternFill patternType="solid">
        <fgColor theme="0" tint="-4.9989318521683403E-2"/>
        <bgColor theme="4" tint="0.79998168889431442"/>
      </patternFill>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9" fontId="1" fillId="0" borderId="0" applyFont="0" applyFill="0" applyBorder="0" applyAlignment="0" applyProtection="0"/>
    <xf numFmtId="0" fontId="3" fillId="2" borderId="0" applyNumberFormat="0" applyBorder="0" applyAlignment="0" applyProtection="0"/>
  </cellStyleXfs>
  <cellXfs count="49">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2" fontId="0" fillId="0" borderId="0" xfId="1" applyNumberFormat="1" applyFont="1"/>
    <xf numFmtId="0" fontId="5" fillId="2" borderId="4" xfId="2" applyFont="1" applyBorder="1" applyAlignment="1">
      <alignment horizontal="center" vertical="top"/>
    </xf>
    <xf numFmtId="0" fontId="5" fillId="2" borderId="5" xfId="2" applyFont="1" applyBorder="1" applyAlignment="1">
      <alignment horizontal="center" vertical="top"/>
    </xf>
    <xf numFmtId="0" fontId="4" fillId="0" borderId="2" xfId="0" applyFont="1" applyBorder="1" applyAlignment="1">
      <alignment horizontal="left" vertical="top"/>
    </xf>
    <xf numFmtId="0" fontId="4" fillId="0" borderId="3" xfId="0" applyFont="1" applyBorder="1" applyAlignment="1">
      <alignment horizontal="left" vertical="top"/>
    </xf>
    <xf numFmtId="10" fontId="4" fillId="0" borderId="3" xfId="0" applyNumberFormat="1" applyFont="1" applyBorder="1" applyAlignment="1">
      <alignment horizontal="left" vertical="top"/>
    </xf>
    <xf numFmtId="0" fontId="4" fillId="0" borderId="6" xfId="0" applyFont="1" applyBorder="1" applyAlignment="1">
      <alignment horizontal="left" vertical="top"/>
    </xf>
    <xf numFmtId="0" fontId="4" fillId="0" borderId="7" xfId="0" applyFont="1" applyBorder="1" applyAlignment="1">
      <alignment horizontal="left" vertical="top"/>
    </xf>
    <xf numFmtId="0" fontId="6" fillId="0" borderId="0" xfId="0" applyFont="1"/>
    <xf numFmtId="0" fontId="4" fillId="0" borderId="0" xfId="0" applyFont="1"/>
    <xf numFmtId="164" fontId="0" fillId="0" borderId="0" xfId="0" applyNumberFormat="1" applyAlignment="1">
      <alignment horizontal="left"/>
    </xf>
    <xf numFmtId="0" fontId="0" fillId="3" borderId="0" xfId="0" applyFill="1"/>
    <xf numFmtId="0" fontId="9" fillId="3" borderId="0" xfId="0" applyFont="1" applyFill="1"/>
    <xf numFmtId="0" fontId="9" fillId="0" borderId="0" xfId="0" applyFont="1"/>
    <xf numFmtId="0" fontId="12" fillId="0" borderId="0" xfId="0" applyFont="1" applyAlignment="1">
      <alignment horizontal="center" vertical="center"/>
    </xf>
    <xf numFmtId="0" fontId="11" fillId="0" borderId="0" xfId="0" applyFont="1"/>
    <xf numFmtId="0" fontId="0" fillId="0" borderId="0" xfId="0" applyAlignment="1">
      <alignment wrapText="1"/>
    </xf>
    <xf numFmtId="0" fontId="15" fillId="0" borderId="0" xfId="0" applyFont="1"/>
    <xf numFmtId="0" fontId="6" fillId="0" borderId="0" xfId="0" applyFont="1" applyAlignment="1">
      <alignment wrapText="1"/>
    </xf>
    <xf numFmtId="0" fontId="10" fillId="0" borderId="0" xfId="0" applyFont="1"/>
    <xf numFmtId="0" fontId="14" fillId="0" borderId="0" xfId="0" applyFont="1" applyAlignment="1">
      <alignment wrapText="1"/>
    </xf>
    <xf numFmtId="0" fontId="14" fillId="0" borderId="0" xfId="0" applyFont="1"/>
    <xf numFmtId="0" fontId="7" fillId="3" borderId="0" xfId="2" applyFont="1" applyFill="1" applyBorder="1" applyAlignment="1">
      <alignment horizontal="center" vertical="top"/>
    </xf>
    <xf numFmtId="0" fontId="4" fillId="3" borderId="0" xfId="0" applyFont="1" applyFill="1" applyAlignment="1">
      <alignment horizontal="left" vertical="top"/>
    </xf>
    <xf numFmtId="10" fontId="4" fillId="3" borderId="0" xfId="0" applyNumberFormat="1" applyFont="1" applyFill="1" applyAlignment="1">
      <alignment horizontal="left" vertical="top"/>
    </xf>
    <xf numFmtId="0" fontId="7" fillId="3" borderId="0" xfId="0" applyFont="1" applyFill="1"/>
    <xf numFmtId="0" fontId="4" fillId="3" borderId="0" xfId="0" applyFont="1" applyFill="1"/>
    <xf numFmtId="0" fontId="8" fillId="4" borderId="0" xfId="0" applyFont="1" applyFill="1" applyAlignment="1">
      <alignment horizontal="center" vertical="top"/>
    </xf>
    <xf numFmtId="0" fontId="4" fillId="5" borderId="0" xfId="0" applyFont="1" applyFill="1"/>
    <xf numFmtId="2" fontId="4" fillId="3" borderId="0" xfId="1" applyNumberFormat="1" applyFont="1" applyFill="1" applyBorder="1"/>
    <xf numFmtId="0" fontId="0" fillId="7" borderId="8" xfId="0" applyFill="1" applyBorder="1"/>
    <xf numFmtId="2" fontId="0" fillId="7" borderId="9" xfId="1" applyNumberFormat="1" applyFont="1" applyFill="1" applyBorder="1"/>
    <xf numFmtId="0" fontId="0" fillId="0" borderId="8" xfId="0" applyBorder="1"/>
    <xf numFmtId="2" fontId="0" fillId="0" borderId="9" xfId="1" applyNumberFormat="1" applyFont="1" applyBorder="1"/>
    <xf numFmtId="0" fontId="16" fillId="6" borderId="1" xfId="0" applyFont="1" applyFill="1" applyBorder="1" applyAlignment="1">
      <alignment horizontal="center" vertical="top"/>
    </xf>
    <xf numFmtId="0" fontId="11" fillId="0" borderId="1" xfId="0" applyFont="1" applyBorder="1"/>
    <xf numFmtId="0" fontId="6" fillId="0" borderId="1" xfId="0" applyFont="1" applyBorder="1" applyAlignment="1">
      <alignment vertical="center" wrapText="1"/>
    </xf>
    <xf numFmtId="0" fontId="0" fillId="0" borderId="1" xfId="0" applyBorder="1"/>
    <xf numFmtId="3" fontId="0" fillId="0" borderId="1" xfId="0" applyNumberFormat="1" applyBorder="1"/>
    <xf numFmtId="0" fontId="6" fillId="0" borderId="1" xfId="0" applyFont="1" applyBorder="1"/>
    <xf numFmtId="10" fontId="0" fillId="0" borderId="1" xfId="0" applyNumberFormat="1" applyBorder="1"/>
    <xf numFmtId="0" fontId="17" fillId="0" borderId="1" xfId="0" applyFont="1" applyBorder="1"/>
    <xf numFmtId="0" fontId="18" fillId="3" borderId="0" xfId="0" applyFont="1" applyFill="1" applyAlignment="1">
      <alignment horizontal="left" vertical="center"/>
    </xf>
    <xf numFmtId="0" fontId="0" fillId="0" borderId="0" xfId="0" applyNumberFormat="1"/>
  </cellXfs>
  <cellStyles count="3">
    <cellStyle name="Good" xfId="2" builtinId="26"/>
    <cellStyle name="Normal" xfId="0" builtinId="0"/>
    <cellStyle name="Percent" xfId="1" builtinId="5"/>
  </cellStyles>
  <dxfs count="12">
    <dxf>
      <alignment horizontal="center"/>
    </dxf>
    <dxf>
      <alignment horizontal="center"/>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alignment horizontal="left" vertical="top"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2"/>
        <color theme="1"/>
        <name val="Aptos Narrow"/>
        <family val="2"/>
        <scheme val="minor"/>
      </font>
      <alignment horizontal="left"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left"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06100"/>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9C9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2">
                    <a:lumMod val="25000"/>
                  </a:schemeClr>
                </a:solidFill>
                <a:latin typeface="+mn-lt"/>
                <a:ea typeface="+mn-ea"/>
                <a:cs typeface="+mn-cs"/>
              </a:defRPr>
            </a:pPr>
            <a:r>
              <a:rPr lang="en-US" sz="1400" b="1"/>
              <a:t>Time Spent per Skill Type</a:t>
            </a:r>
          </a:p>
        </c:rich>
      </c:tx>
      <c:layout>
        <c:manualLayout>
          <c:xMode val="edge"/>
          <c:yMode val="edge"/>
          <c:x val="0.40356933508311466"/>
          <c:y val="4.9905220180810735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bg2">
                  <a:lumMod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18"/>
              <c:pt idx="0">
                <c:v>Communication</c:v>
              </c:pt>
              <c:pt idx="1">
                <c:v>Critical Thinking</c:v>
              </c:pt>
              <c:pt idx="2">
                <c:v>Dashboard Design</c:v>
              </c:pt>
              <c:pt idx="3">
                <c:v>Data Cleaning</c:v>
              </c:pt>
              <c:pt idx="4">
                <c:v>Email Writing</c:v>
              </c:pt>
              <c:pt idx="5">
                <c:v>English Grammar</c:v>
              </c:pt>
              <c:pt idx="6">
                <c:v>Excel</c:v>
              </c:pt>
              <c:pt idx="7">
                <c:v>GitHub</c:v>
              </c:pt>
              <c:pt idx="8">
                <c:v>Machine Learning</c:v>
              </c:pt>
              <c:pt idx="9">
                <c:v>MS Word</c:v>
              </c:pt>
              <c:pt idx="10">
                <c:v>Power BI</c:v>
              </c:pt>
              <c:pt idx="11">
                <c:v>Problem Solving</c:v>
              </c:pt>
              <c:pt idx="12">
                <c:v>Public Speaking</c:v>
              </c:pt>
              <c:pt idx="13">
                <c:v>Python</c:v>
              </c:pt>
              <c:pt idx="14">
                <c:v>SQL</c:v>
              </c:pt>
              <c:pt idx="15">
                <c:v>Statistics</c:v>
              </c:pt>
              <c:pt idx="16">
                <c:v>Tableau</c:v>
              </c:pt>
              <c:pt idx="17">
                <c:v>Time Management</c:v>
              </c:pt>
            </c:strLit>
          </c:cat>
          <c:val>
            <c:numLit>
              <c:formatCode>General</c:formatCode>
              <c:ptCount val="18"/>
              <c:pt idx="0">
                <c:v>899</c:v>
              </c:pt>
              <c:pt idx="1">
                <c:v>1423</c:v>
              </c:pt>
              <c:pt idx="2">
                <c:v>784</c:v>
              </c:pt>
              <c:pt idx="3">
                <c:v>746</c:v>
              </c:pt>
              <c:pt idx="4">
                <c:v>721</c:v>
              </c:pt>
              <c:pt idx="5">
                <c:v>862</c:v>
              </c:pt>
              <c:pt idx="6">
                <c:v>1248</c:v>
              </c:pt>
              <c:pt idx="7">
                <c:v>845</c:v>
              </c:pt>
              <c:pt idx="8">
                <c:v>898</c:v>
              </c:pt>
              <c:pt idx="9">
                <c:v>706</c:v>
              </c:pt>
              <c:pt idx="10">
                <c:v>885</c:v>
              </c:pt>
              <c:pt idx="11">
                <c:v>721</c:v>
              </c:pt>
              <c:pt idx="12">
                <c:v>1126</c:v>
              </c:pt>
              <c:pt idx="13">
                <c:v>837</c:v>
              </c:pt>
              <c:pt idx="14">
                <c:v>686</c:v>
              </c:pt>
              <c:pt idx="15">
                <c:v>680</c:v>
              </c:pt>
              <c:pt idx="16">
                <c:v>479</c:v>
              </c:pt>
              <c:pt idx="17">
                <c:v>851</c:v>
              </c:pt>
            </c:numLit>
          </c:val>
          <c:extLst>
            <c:ext xmlns:c16="http://schemas.microsoft.com/office/drawing/2014/chart" uri="{C3380CC4-5D6E-409C-BE32-E72D297353CC}">
              <c16:uniqueId val="{00000000-542F-4A1B-A8A0-4753042E17FB}"/>
            </c:ext>
          </c:extLst>
        </c:ser>
        <c:dLbls>
          <c:showLegendKey val="0"/>
          <c:showVal val="0"/>
          <c:showCatName val="0"/>
          <c:showSerName val="0"/>
          <c:showPercent val="0"/>
          <c:showBubbleSize val="0"/>
        </c:dLbls>
        <c:gapWidth val="150"/>
        <c:overlap val="100"/>
        <c:axId val="2039173056"/>
        <c:axId val="2039147616"/>
      </c:barChart>
      <c:catAx>
        <c:axId val="20391730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2039147616"/>
        <c:crosses val="autoZero"/>
        <c:auto val="1"/>
        <c:lblAlgn val="ctr"/>
        <c:lblOffset val="100"/>
        <c:noMultiLvlLbl val="0"/>
      </c:catAx>
      <c:valAx>
        <c:axId val="20391476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20391730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2">
          <a:lumMod val="15000"/>
          <a:lumOff val="85000"/>
        </a:schemeClr>
      </a:soli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Skills Added Monthly</a:t>
            </a:r>
            <a:endParaRPr lang="en-US" b="1"/>
          </a:p>
        </c:rich>
      </c:tx>
      <c:layout>
        <c:manualLayout>
          <c:xMode val="edge"/>
          <c:yMode val="edge"/>
          <c:x val="0.40179855643044621"/>
          <c:y val="5.4534849810440364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May</c:v>
              </c:pt>
              <c:pt idx="1">
                <c:v>Jun</c:v>
              </c:pt>
              <c:pt idx="2">
                <c:v>Jul</c:v>
              </c:pt>
            </c:strLit>
          </c:cat>
          <c:val>
            <c:numLit>
              <c:formatCode>General</c:formatCode>
              <c:ptCount val="3"/>
              <c:pt idx="0">
                <c:v>95</c:v>
              </c:pt>
              <c:pt idx="1">
                <c:v>330</c:v>
              </c:pt>
              <c:pt idx="2">
                <c:v>75</c:v>
              </c:pt>
            </c:numLit>
          </c:val>
          <c:extLst>
            <c:ext xmlns:c16="http://schemas.microsoft.com/office/drawing/2014/chart" uri="{C3380CC4-5D6E-409C-BE32-E72D297353CC}">
              <c16:uniqueId val="{00000000-106E-4588-BF7A-9EB19F7A604B}"/>
            </c:ext>
          </c:extLst>
        </c:ser>
        <c:dLbls>
          <c:dLblPos val="outEnd"/>
          <c:showLegendKey val="0"/>
          <c:showVal val="1"/>
          <c:showCatName val="0"/>
          <c:showSerName val="0"/>
          <c:showPercent val="0"/>
          <c:showBubbleSize val="0"/>
        </c:dLbls>
        <c:gapWidth val="219"/>
        <c:overlap val="-27"/>
        <c:axId val="164113296"/>
        <c:axId val="164113776"/>
      </c:barChart>
      <c:catAx>
        <c:axId val="16411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3776"/>
        <c:crosses val="autoZero"/>
        <c:auto val="1"/>
        <c:lblAlgn val="ctr"/>
        <c:lblOffset val="100"/>
        <c:noMultiLvlLbl val="0"/>
      </c:catAx>
      <c:valAx>
        <c:axId val="16411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329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Confidence Progress Over Time</a:t>
            </a:r>
            <a:endParaRPr lang="en-US" b="1"/>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8"/>
              <c:pt idx="0">
                <c:v>2025-07-01</c:v>
              </c:pt>
              <c:pt idx="1">
                <c:v>2025-07-02</c:v>
              </c:pt>
              <c:pt idx="2">
                <c:v>2025-07-03</c:v>
              </c:pt>
              <c:pt idx="3">
                <c:v>2025-07-04</c:v>
              </c:pt>
              <c:pt idx="4">
                <c:v>2025-07-05</c:v>
              </c:pt>
              <c:pt idx="5">
                <c:v>2025-07-06</c:v>
              </c:pt>
              <c:pt idx="6">
                <c:v>2025-07-07</c:v>
              </c:pt>
              <c:pt idx="7">
                <c:v>2025-07-08</c:v>
              </c:pt>
            </c:strLit>
          </c:cat>
          <c:val>
            <c:numLit>
              <c:formatCode>General</c:formatCode>
              <c:ptCount val="8"/>
              <c:pt idx="0">
                <c:v>247.84999999999997</c:v>
              </c:pt>
              <c:pt idx="1">
                <c:v>226.67142857142855</c:v>
              </c:pt>
              <c:pt idx="2">
                <c:v>266.47499999999997</c:v>
              </c:pt>
              <c:pt idx="3">
                <c:v>235.26666666666662</c:v>
              </c:pt>
              <c:pt idx="4">
                <c:v>337.5</c:v>
              </c:pt>
              <c:pt idx="5">
                <c:v>241.09999999999994</c:v>
              </c:pt>
              <c:pt idx="6">
                <c:v>224.43333333333328</c:v>
              </c:pt>
              <c:pt idx="7">
                <c:v>189.09999999999994</c:v>
              </c:pt>
            </c:numLit>
          </c:val>
          <c:smooth val="0"/>
          <c:extLst>
            <c:ext xmlns:c16="http://schemas.microsoft.com/office/drawing/2014/chart" uri="{C3380CC4-5D6E-409C-BE32-E72D297353CC}">
              <c16:uniqueId val="{00000000-3715-42D1-9CAB-16CF29DA5755}"/>
            </c:ext>
          </c:extLst>
        </c:ser>
        <c:dLbls>
          <c:showLegendKey val="0"/>
          <c:showVal val="0"/>
          <c:showCatName val="0"/>
          <c:showSerName val="0"/>
          <c:showPercent val="0"/>
          <c:showBubbleSize val="0"/>
        </c:dLbls>
        <c:smooth val="0"/>
        <c:axId val="2039178336"/>
        <c:axId val="2039178816"/>
      </c:lineChart>
      <c:catAx>
        <c:axId val="20391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8816"/>
        <c:crosses val="autoZero"/>
        <c:auto val="1"/>
        <c:lblAlgn val="ctr"/>
        <c:lblOffset val="100"/>
        <c:noMultiLvlLbl val="0"/>
      </c:catAx>
      <c:valAx>
        <c:axId val="203917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8336"/>
        <c:crosses val="autoZero"/>
        <c:crossBetween val="between"/>
      </c:valAx>
      <c:spPr>
        <a:solidFill>
          <a:schemeClr val="bg1"/>
        </a:solid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r>
              <a:rPr lang="en-US" sz="1400" b="1" i="0" u="none" strike="noStrike" kern="1200" baseline="0">
                <a:solidFill>
                  <a:sysClr val="windowText" lastClr="000000">
                    <a:lumMod val="65000"/>
                    <a:lumOff val="35000"/>
                  </a:sysClr>
                </a:solidFill>
              </a:rPr>
              <a:t>Skill Progress Overview</a:t>
            </a:r>
          </a:p>
        </c:rich>
      </c:tx>
      <c:layout>
        <c:manualLayout>
          <c:xMode val="edge"/>
          <c:yMode val="edge"/>
          <c:x val="0.4123612341274297"/>
          <c:y val="2.1280424091256172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v>Total</c:v>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8B43-4C20-845C-4A80B3D271AD}"/>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8B43-4C20-845C-4A80B3D271AD}"/>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8B43-4C20-845C-4A80B3D271AD}"/>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8B43-4C20-845C-4A80B3D271AD}"/>
              </c:ext>
            </c:extLst>
          </c:dPt>
          <c:cat>
            <c:strLit>
              <c:ptCount val="4"/>
              <c:pt idx="0">
                <c:v>Completed</c:v>
              </c:pt>
              <c:pt idx="1">
                <c:v>In Progress</c:v>
              </c:pt>
              <c:pt idx="2">
                <c:v>Not Started</c:v>
              </c:pt>
              <c:pt idx="3">
                <c:v>Started</c:v>
              </c:pt>
            </c:strLit>
          </c:cat>
          <c:val>
            <c:numLit>
              <c:formatCode>General</c:formatCode>
              <c:ptCount val="4"/>
              <c:pt idx="0">
                <c:v>120</c:v>
              </c:pt>
              <c:pt idx="1">
                <c:v>126</c:v>
              </c:pt>
              <c:pt idx="2">
                <c:v>114</c:v>
              </c:pt>
              <c:pt idx="3">
                <c:v>140</c:v>
              </c:pt>
            </c:numLit>
          </c:val>
          <c:extLst>
            <c:ext xmlns:c16="http://schemas.microsoft.com/office/drawing/2014/chart" uri="{C3380CC4-5D6E-409C-BE32-E72D297353CC}">
              <c16:uniqueId val="{00000008-8B43-4C20-845C-4A80B3D271AD}"/>
            </c:ext>
          </c:extLst>
        </c:ser>
        <c:dLbls>
          <c:showLegendKey val="0"/>
          <c:showVal val="0"/>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Skill Completion Status</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950677353537893"/>
          <c:y val="0.21446807768393664"/>
          <c:w val="0.83996752838553912"/>
          <c:h val="0.69827950033349773"/>
        </c:manualLayout>
      </c:layout>
      <c:barChart>
        <c:barDir val="col"/>
        <c:grouping val="clustered"/>
        <c:varyColors val="0"/>
        <c:ser>
          <c:idx val="0"/>
          <c:order val="0"/>
          <c:tx>
            <c:strRef>
              <c:f>[1]Dashboard!$E$1</c:f>
              <c:strCache>
                <c:ptCount val="1"/>
                <c:pt idx="0">
                  <c:v>Count</c:v>
                </c:pt>
              </c:strCache>
            </c:strRef>
          </c:tx>
          <c:spPr>
            <a:solidFill>
              <a:schemeClr val="accent2">
                <a:lumMod val="60000"/>
                <a:lumOff val="40000"/>
              </a:schemeClr>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33A-4207-8381-D63B34B1F8C3}"/>
              </c:ext>
            </c:extLst>
          </c:dPt>
          <c:dPt>
            <c:idx val="1"/>
            <c:invertIfNegative val="0"/>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33A-4207-8381-D63B34B1F8C3}"/>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fld id="{97BCAEE1-B099-4725-8CEF-63E6F4E40B48}" type="CATEGORYNAME">
                      <a:rPr lang="en-US">
                        <a:solidFill>
                          <a:schemeClr val="tx1">
                            <a:lumMod val="50000"/>
                            <a:lumOff val="50000"/>
                          </a:schemeClr>
                        </a:solidFill>
                      </a:rPr>
                      <a:pPr>
                        <a:defRPr>
                          <a:solidFill>
                            <a:schemeClr val="accent5">
                              <a:shade val="76000"/>
                            </a:schemeClr>
                          </a:solidFill>
                        </a:defRPr>
                      </a:pPr>
                      <a:t>[CATEGORY NAME]</a:t>
                    </a:fld>
                    <a:r>
                      <a:rPr lang="en-US" baseline="0">
                        <a:solidFill>
                          <a:schemeClr val="tx1">
                            <a:lumMod val="50000"/>
                            <a:lumOff val="50000"/>
                          </a:schemeClr>
                        </a:solidFill>
                      </a:rPr>
                      <a:t>, </a:t>
                    </a:r>
                    <a:fld id="{DCA30797-5E4D-4C8D-B6DC-6181DACCEB93}" type="VALUE">
                      <a:rPr lang="en-US" baseline="0">
                        <a:solidFill>
                          <a:schemeClr val="tx1">
                            <a:lumMod val="50000"/>
                            <a:lumOff val="50000"/>
                          </a:schemeClr>
                        </a:solidFill>
                      </a:rPr>
                      <a:pPr>
                        <a:defRPr>
                          <a:solidFill>
                            <a:schemeClr val="accent5">
                              <a:shade val="76000"/>
                            </a:schemeClr>
                          </a:solidFill>
                        </a:defRPr>
                      </a:pPr>
                      <a:t>[VALUE]</a:t>
                    </a:fld>
                    <a:endParaRPr lang="en-US" baseline="0">
                      <a:solidFill>
                        <a:schemeClr val="tx1">
                          <a:lumMod val="50000"/>
                          <a:lumOff val="50000"/>
                        </a:schemeClr>
                      </a:solidFill>
                    </a:endParaRPr>
                  </a:p>
                </c:rich>
              </c:tx>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33A-4207-8381-D63B34B1F8C3}"/>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fld id="{CCC9C033-AB2B-4C35-A294-0C2664B3AF1C}" type="CATEGORYNAME">
                      <a:rPr lang="en-US">
                        <a:solidFill>
                          <a:schemeClr val="tx1">
                            <a:lumMod val="50000"/>
                            <a:lumOff val="50000"/>
                          </a:schemeClr>
                        </a:solidFill>
                      </a:rPr>
                      <a:pPr>
                        <a:defRPr>
                          <a:solidFill>
                            <a:schemeClr val="accent5">
                              <a:tint val="77000"/>
                            </a:schemeClr>
                          </a:solidFill>
                        </a:defRPr>
                      </a:pPr>
                      <a:t>[CATEGORY NAME]</a:t>
                    </a:fld>
                    <a:r>
                      <a:rPr lang="en-US" baseline="0">
                        <a:solidFill>
                          <a:schemeClr val="tx1">
                            <a:lumMod val="50000"/>
                            <a:lumOff val="50000"/>
                          </a:schemeClr>
                        </a:solidFill>
                      </a:rPr>
                      <a:t>, </a:t>
                    </a:r>
                    <a:fld id="{6DF9486F-0335-450E-89DF-0D90B027F7F7}" type="VALUE">
                      <a:rPr lang="en-US" baseline="0">
                        <a:solidFill>
                          <a:schemeClr val="tx1">
                            <a:lumMod val="50000"/>
                            <a:lumOff val="50000"/>
                          </a:schemeClr>
                        </a:solidFill>
                      </a:rPr>
                      <a:pPr>
                        <a:defRPr>
                          <a:solidFill>
                            <a:schemeClr val="accent5">
                              <a:tint val="77000"/>
                            </a:schemeClr>
                          </a:solidFill>
                        </a:defRPr>
                      </a:pPr>
                      <a:t>[VALUE]</a:t>
                    </a:fld>
                    <a:endParaRPr lang="en-US" baseline="0">
                      <a:solidFill>
                        <a:schemeClr val="tx1">
                          <a:lumMod val="50000"/>
                          <a:lumOff val="50000"/>
                        </a:schemeClr>
                      </a:solidFill>
                    </a:endParaRPr>
                  </a:p>
                </c:rich>
              </c:tx>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33A-4207-8381-D63B34B1F8C3}"/>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[1]Dashboard!$D$2:$D$3</c:f>
              <c:strCache>
                <c:ptCount val="2"/>
                <c:pt idx="0">
                  <c:v>Completed</c:v>
                </c:pt>
                <c:pt idx="1">
                  <c:v>In Progress</c:v>
                </c:pt>
              </c:strCache>
            </c:strRef>
          </c:cat>
          <c:val>
            <c:numRef>
              <c:f>[1]Dashboard!$E$2:$E$3</c:f>
              <c:numCache>
                <c:formatCode>General</c:formatCode>
                <c:ptCount val="2"/>
                <c:pt idx="0">
                  <c:v>120</c:v>
                </c:pt>
                <c:pt idx="1">
                  <c:v>126</c:v>
                </c:pt>
              </c:numCache>
            </c:numRef>
          </c:val>
          <c:extLst>
            <c:ext xmlns:c16="http://schemas.microsoft.com/office/drawing/2014/chart" uri="{C3380CC4-5D6E-409C-BE32-E72D297353CC}">
              <c16:uniqueId val="{00000004-F33A-4207-8381-D63B34B1F8C3}"/>
            </c:ext>
          </c:extLst>
        </c:ser>
        <c:dLbls>
          <c:showLegendKey val="0"/>
          <c:showVal val="0"/>
          <c:showCatName val="0"/>
          <c:showSerName val="0"/>
          <c:showPercent val="0"/>
          <c:showBubbleSize val="0"/>
        </c:dLbls>
        <c:gapWidth val="100"/>
        <c:axId val="845443503"/>
        <c:axId val="845426223"/>
      </c:barChart>
      <c:catAx>
        <c:axId val="84544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26223"/>
        <c:crosses val="autoZero"/>
        <c:auto val="1"/>
        <c:lblAlgn val="ctr"/>
        <c:lblOffset val="100"/>
        <c:noMultiLvlLbl val="0"/>
      </c:catAx>
      <c:valAx>
        <c:axId val="84542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4350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horizontalDpi="300"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 Learning Tracker with Confidence Meter (version 1).xlsb.xlsx]Average Confidence by Category!PivotTable2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Confidence by Category</a:t>
            </a:r>
          </a:p>
        </c:rich>
      </c:tx>
      <c:layout>
        <c:manualLayout>
          <c:xMode val="edge"/>
          <c:yMode val="edge"/>
          <c:x val="0.34742344706911638"/>
          <c:y val="4.9905220180810735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Confidence by Category'!$B$2</c:f>
              <c:strCache>
                <c:ptCount val="1"/>
                <c:pt idx="0">
                  <c:v>Total</c:v>
                </c:pt>
              </c:strCache>
            </c:strRef>
          </c:tx>
          <c:spPr>
            <a:solidFill>
              <a:schemeClr val="accent6">
                <a:lumMod val="60000"/>
                <a:lumOff val="40000"/>
              </a:schemeClr>
            </a:solidFill>
            <a:ln>
              <a:noFill/>
            </a:ln>
            <a:effectLst/>
          </c:spPr>
          <c:invertIfNegative val="0"/>
          <c:cat>
            <c:strRef>
              <c:f>'Average Confidence by Category'!$A$3:$A$4</c:f>
              <c:strCache>
                <c:ptCount val="1"/>
                <c:pt idx="0">
                  <c:v>Machine Learning</c:v>
                </c:pt>
              </c:strCache>
            </c:strRef>
          </c:cat>
          <c:val>
            <c:numRef>
              <c:f>'Average Confidence by Category'!$B$3:$B$4</c:f>
              <c:numCache>
                <c:formatCode>General</c:formatCode>
                <c:ptCount val="1"/>
                <c:pt idx="0">
                  <c:v>24.1</c:v>
                </c:pt>
              </c:numCache>
            </c:numRef>
          </c:val>
          <c:extLst>
            <c:ext xmlns:c16="http://schemas.microsoft.com/office/drawing/2014/chart" uri="{C3380CC4-5D6E-409C-BE32-E72D297353CC}">
              <c16:uniqueId val="{00000000-AD62-41BF-902D-FD395B55E9B7}"/>
            </c:ext>
          </c:extLst>
        </c:ser>
        <c:dLbls>
          <c:showLegendKey val="0"/>
          <c:showVal val="0"/>
          <c:showCatName val="0"/>
          <c:showSerName val="0"/>
          <c:showPercent val="0"/>
          <c:showBubbleSize val="0"/>
        </c:dLbls>
        <c:gapWidth val="182"/>
        <c:axId val="502844447"/>
        <c:axId val="502846847"/>
      </c:barChart>
      <c:catAx>
        <c:axId val="5028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46847"/>
        <c:crosses val="autoZero"/>
        <c:auto val="1"/>
        <c:lblAlgn val="ctr"/>
        <c:lblOffset val="100"/>
        <c:noMultiLvlLbl val="0"/>
      </c:catAx>
      <c:valAx>
        <c:axId val="50284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4444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Skills by Confidence</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tx>
            <c:strRef>
              <c:f>'Top 5 Skills by Confidence'!$B$3</c:f>
              <c:strCache>
                <c:ptCount val="1"/>
                <c:pt idx="0">
                  <c:v>Confidence %</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BB40-44C1-AD4B-7ECDAF13C56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BB40-44C1-AD4B-7ECDAF13C566}"/>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BB40-44C1-AD4B-7ECDAF13C566}"/>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BB40-44C1-AD4B-7ECDAF13C566}"/>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BB40-44C1-AD4B-7ECDAF13C566}"/>
              </c:ext>
            </c:extLst>
          </c:dPt>
          <c:cat>
            <c:strRef>
              <c:f>'Top 5 Skills by Confidence'!$A$4:$A$8</c:f>
              <c:strCache>
                <c:ptCount val="5"/>
                <c:pt idx="0">
                  <c:v>Machine Learning</c:v>
                </c:pt>
                <c:pt idx="1">
                  <c:v>Public Speaking</c:v>
                </c:pt>
                <c:pt idx="2">
                  <c:v>Power BI</c:v>
                </c:pt>
                <c:pt idx="3">
                  <c:v>Excel</c:v>
                </c:pt>
                <c:pt idx="4">
                  <c:v>Data Cleaning</c:v>
                </c:pt>
              </c:strCache>
            </c:strRef>
          </c:cat>
          <c:val>
            <c:numRef>
              <c:f>'Top 5 Skills by Confidence'!$B$4:$B$8</c:f>
              <c:numCache>
                <c:formatCode>0.00</c:formatCode>
                <c:ptCount val="5"/>
                <c:pt idx="0">
                  <c:v>499.1</c:v>
                </c:pt>
                <c:pt idx="1">
                  <c:v>498.1</c:v>
                </c:pt>
                <c:pt idx="2">
                  <c:v>497.1</c:v>
                </c:pt>
                <c:pt idx="3">
                  <c:v>496.1</c:v>
                </c:pt>
                <c:pt idx="4">
                  <c:v>495.1</c:v>
                </c:pt>
              </c:numCache>
            </c:numRef>
          </c:val>
          <c:extLst>
            <c:ext xmlns:c16="http://schemas.microsoft.com/office/drawing/2014/chart" uri="{C3380CC4-5D6E-409C-BE32-E72D297353CC}">
              <c16:uniqueId val="{0000000A-BB40-44C1-AD4B-7ECDAF13C566}"/>
            </c:ext>
          </c:extLst>
        </c:ser>
        <c:dLbls>
          <c:showLegendKey val="0"/>
          <c:showVal val="0"/>
          <c:showCatName val="0"/>
          <c:showSerName val="0"/>
          <c:showPercent val="0"/>
          <c:showBubbleSize val="0"/>
          <c:showLeaderLines val="1"/>
        </c:dLbls>
        <c:firstSliceAng val="0"/>
      </c:pieChart>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 Learning Tracker with Confidence Meter (version 1).xlsb.xlsx]Skill Progress Overview!PivotTable1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Skill Progress Overview</a:t>
            </a:r>
          </a:p>
        </c:rich>
      </c:tx>
      <c:layout>
        <c:manualLayout>
          <c:xMode val="edge"/>
          <c:yMode val="edge"/>
          <c:x val="0.37179155730533686"/>
          <c:y val="7.305336832895889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317500" algn="ctr" rotWithShape="0">
              <a:prstClr val="black">
                <a:alpha val="25000"/>
              </a:prstClr>
            </a:outerShdw>
          </a:effectLst>
        </c:spPr>
      </c:pivotFmt>
      <c:pivotFmt>
        <c:idx val="2"/>
        <c:spPr>
          <a:solidFill>
            <a:schemeClr val="accent4">
              <a:lumMod val="60000"/>
              <a:lumOff val="40000"/>
            </a:schemeClr>
          </a:solidFill>
          <a:ln>
            <a:noFill/>
          </a:ln>
          <a:effectLst>
            <a:outerShdw blurRad="317500" algn="ctr" rotWithShape="0">
              <a:prstClr val="black">
                <a:alpha val="25000"/>
              </a:prstClr>
            </a:outerShdw>
          </a:effectLst>
        </c:spPr>
      </c:pivotFmt>
      <c:pivotFmt>
        <c:idx val="3"/>
        <c:spPr>
          <a:solidFill>
            <a:schemeClr val="accent6">
              <a:lumMod val="40000"/>
              <a:lumOff val="60000"/>
            </a:schemeClr>
          </a:solidFill>
          <a:ln>
            <a:noFill/>
          </a:ln>
          <a:effectLst>
            <a:outerShdw blurRad="317500" algn="ctr" rotWithShape="0">
              <a:prstClr val="black">
                <a:alpha val="25000"/>
              </a:prstClr>
            </a:outerShdw>
          </a:effectLst>
        </c:spPr>
      </c:pivotFmt>
      <c:pivotFmt>
        <c:idx val="4"/>
        <c:spPr>
          <a:solidFill>
            <a:schemeClr val="accent2">
              <a:lumMod val="60000"/>
              <a:lumOff val="4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'Skill Progress Overview'!$B$3</c:f>
              <c:strCache>
                <c:ptCount val="1"/>
                <c:pt idx="0">
                  <c:v>Total</c:v>
                </c:pt>
              </c:strCache>
            </c:strRef>
          </c:tx>
          <c:dPt>
            <c:idx val="0"/>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C446-4FC8-803D-336742D81EE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446-4FC8-803D-336742D81EE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46-4FC8-803D-336742D81EE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C446-4FC8-803D-336742D81E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'Skill Progress Overview'!$A$4:$A$5</c:f>
              <c:strCache>
                <c:ptCount val="1"/>
                <c:pt idx="0">
                  <c:v>Not Started</c:v>
                </c:pt>
              </c:strCache>
            </c:strRef>
          </c:cat>
          <c:val>
            <c:numRef>
              <c:f>'Skill Progress Overview'!$B$4:$B$5</c:f>
              <c:numCache>
                <c:formatCode>General</c:formatCode>
                <c:ptCount val="1"/>
                <c:pt idx="0">
                  <c:v>1</c:v>
                </c:pt>
              </c:numCache>
            </c:numRef>
          </c:val>
          <c:extLst>
            <c:ext xmlns:c16="http://schemas.microsoft.com/office/drawing/2014/chart" uri="{C3380CC4-5D6E-409C-BE32-E72D297353CC}">
              <c16:uniqueId val="{00000000-C446-4FC8-803D-336742D81EE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Time Spent per Skill</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cat>
            <c:strLit>
              <c:ptCount val="18"/>
              <c:pt idx="0">
                <c:v>Communication</c:v>
              </c:pt>
              <c:pt idx="1">
                <c:v>Critical Thinking</c:v>
              </c:pt>
              <c:pt idx="2">
                <c:v>Dashboard Design</c:v>
              </c:pt>
              <c:pt idx="3">
                <c:v>Data Cleaning</c:v>
              </c:pt>
              <c:pt idx="4">
                <c:v>Email Writing</c:v>
              </c:pt>
              <c:pt idx="5">
                <c:v>English Grammar</c:v>
              </c:pt>
              <c:pt idx="6">
                <c:v>Excel</c:v>
              </c:pt>
              <c:pt idx="7">
                <c:v>GitHub</c:v>
              </c:pt>
              <c:pt idx="8">
                <c:v>Machine Learning</c:v>
              </c:pt>
              <c:pt idx="9">
                <c:v>MS Word</c:v>
              </c:pt>
              <c:pt idx="10">
                <c:v>Power BI</c:v>
              </c:pt>
              <c:pt idx="11">
                <c:v>Problem Solving</c:v>
              </c:pt>
              <c:pt idx="12">
                <c:v>Public Speaking</c:v>
              </c:pt>
              <c:pt idx="13">
                <c:v>Python</c:v>
              </c:pt>
              <c:pt idx="14">
                <c:v>SQL</c:v>
              </c:pt>
              <c:pt idx="15">
                <c:v>Statistics</c:v>
              </c:pt>
              <c:pt idx="16">
                <c:v>Tableau</c:v>
              </c:pt>
              <c:pt idx="17">
                <c:v>Time Management</c:v>
              </c:pt>
            </c:strLit>
          </c:cat>
          <c:val>
            <c:numLit>
              <c:formatCode>General</c:formatCode>
              <c:ptCount val="18"/>
              <c:pt idx="0">
                <c:v>899</c:v>
              </c:pt>
              <c:pt idx="1">
                <c:v>1423</c:v>
              </c:pt>
              <c:pt idx="2">
                <c:v>784</c:v>
              </c:pt>
              <c:pt idx="3">
                <c:v>746</c:v>
              </c:pt>
              <c:pt idx="4">
                <c:v>721</c:v>
              </c:pt>
              <c:pt idx="5">
                <c:v>862</c:v>
              </c:pt>
              <c:pt idx="6">
                <c:v>1248</c:v>
              </c:pt>
              <c:pt idx="7">
                <c:v>845</c:v>
              </c:pt>
              <c:pt idx="8">
                <c:v>898</c:v>
              </c:pt>
              <c:pt idx="9">
                <c:v>706</c:v>
              </c:pt>
              <c:pt idx="10">
                <c:v>885</c:v>
              </c:pt>
              <c:pt idx="11">
                <c:v>721</c:v>
              </c:pt>
              <c:pt idx="12">
                <c:v>1126</c:v>
              </c:pt>
              <c:pt idx="13">
                <c:v>837</c:v>
              </c:pt>
              <c:pt idx="14">
                <c:v>686</c:v>
              </c:pt>
              <c:pt idx="15">
                <c:v>680</c:v>
              </c:pt>
              <c:pt idx="16">
                <c:v>479</c:v>
              </c:pt>
              <c:pt idx="17">
                <c:v>851</c:v>
              </c:pt>
            </c:numLit>
          </c:val>
          <c:extLst>
            <c:ext xmlns:c16="http://schemas.microsoft.com/office/drawing/2014/chart" uri="{C3380CC4-5D6E-409C-BE32-E72D297353CC}">
              <c16:uniqueId val="{00000000-A0DD-4BA4-A8D0-BCC531365CE7}"/>
            </c:ext>
          </c:extLst>
        </c:ser>
        <c:dLbls>
          <c:showLegendKey val="0"/>
          <c:showVal val="0"/>
          <c:showCatName val="0"/>
          <c:showSerName val="0"/>
          <c:showPercent val="0"/>
          <c:showBubbleSize val="0"/>
        </c:dLbls>
        <c:gapWidth val="115"/>
        <c:overlap val="-20"/>
        <c:axId val="1468834735"/>
        <c:axId val="1468835215"/>
      </c:barChart>
      <c:catAx>
        <c:axId val="14688347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835215"/>
        <c:crosses val="autoZero"/>
        <c:auto val="1"/>
        <c:lblAlgn val="ctr"/>
        <c:lblOffset val="100"/>
        <c:noMultiLvlLbl val="0"/>
      </c:catAx>
      <c:valAx>
        <c:axId val="1468835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83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 Learning Tracker with Confidence Meter (version 1).xlsb.xlsx]Average Confidence by Category!PivotTable2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Confidence by Category</a:t>
            </a:r>
          </a:p>
        </c:rich>
      </c:tx>
      <c:layout>
        <c:manualLayout>
          <c:xMode val="edge"/>
          <c:yMode val="edge"/>
          <c:x val="0.34742344706911638"/>
          <c:y val="4.9905220180810735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Confidence by Category'!$B$2</c:f>
              <c:strCache>
                <c:ptCount val="1"/>
                <c:pt idx="0">
                  <c:v>Total</c:v>
                </c:pt>
              </c:strCache>
            </c:strRef>
          </c:tx>
          <c:spPr>
            <a:solidFill>
              <a:schemeClr val="accent6">
                <a:lumMod val="60000"/>
                <a:lumOff val="40000"/>
              </a:schemeClr>
            </a:solidFill>
            <a:ln>
              <a:noFill/>
            </a:ln>
            <a:effectLst/>
          </c:spPr>
          <c:invertIfNegative val="0"/>
          <c:cat>
            <c:strRef>
              <c:f>'Average Confidence by Category'!$A$3:$A$4</c:f>
              <c:strCache>
                <c:ptCount val="1"/>
                <c:pt idx="0">
                  <c:v>Machine Learning</c:v>
                </c:pt>
              </c:strCache>
            </c:strRef>
          </c:cat>
          <c:val>
            <c:numRef>
              <c:f>'Average Confidence by Category'!$B$3:$B$4</c:f>
              <c:numCache>
                <c:formatCode>General</c:formatCode>
                <c:ptCount val="1"/>
                <c:pt idx="0">
                  <c:v>24.1</c:v>
                </c:pt>
              </c:numCache>
            </c:numRef>
          </c:val>
          <c:extLst>
            <c:ext xmlns:c16="http://schemas.microsoft.com/office/drawing/2014/chart" uri="{C3380CC4-5D6E-409C-BE32-E72D297353CC}">
              <c16:uniqueId val="{00000000-6959-4CF3-B409-41039CD552A0}"/>
            </c:ext>
          </c:extLst>
        </c:ser>
        <c:dLbls>
          <c:showLegendKey val="0"/>
          <c:showVal val="0"/>
          <c:showCatName val="0"/>
          <c:showSerName val="0"/>
          <c:showPercent val="0"/>
          <c:showBubbleSize val="0"/>
        </c:dLbls>
        <c:gapWidth val="182"/>
        <c:axId val="502844447"/>
        <c:axId val="502846847"/>
      </c:barChart>
      <c:catAx>
        <c:axId val="5028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46847"/>
        <c:crosses val="autoZero"/>
        <c:auto val="1"/>
        <c:lblAlgn val="ctr"/>
        <c:lblOffset val="100"/>
        <c:noMultiLvlLbl val="0"/>
      </c:catAx>
      <c:valAx>
        <c:axId val="50284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4444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Skills Added Monthly</a:t>
            </a:r>
            <a:endParaRPr lang="en-US" b="1"/>
          </a:p>
        </c:rich>
      </c:tx>
      <c:layout>
        <c:manualLayout>
          <c:xMode val="edge"/>
          <c:yMode val="edge"/>
          <c:x val="0.40179855643044621"/>
          <c:y val="5.4534849810440364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May</c:v>
              </c:pt>
              <c:pt idx="1">
                <c:v>Jun</c:v>
              </c:pt>
              <c:pt idx="2">
                <c:v>Jul</c:v>
              </c:pt>
            </c:strLit>
          </c:cat>
          <c:val>
            <c:numLit>
              <c:formatCode>General</c:formatCode>
              <c:ptCount val="3"/>
              <c:pt idx="0">
                <c:v>95</c:v>
              </c:pt>
              <c:pt idx="1">
                <c:v>330</c:v>
              </c:pt>
              <c:pt idx="2">
                <c:v>75</c:v>
              </c:pt>
            </c:numLit>
          </c:val>
          <c:extLst>
            <c:ext xmlns:c16="http://schemas.microsoft.com/office/drawing/2014/chart" uri="{C3380CC4-5D6E-409C-BE32-E72D297353CC}">
              <c16:uniqueId val="{00000000-FDE0-40AF-8352-9DBCFFFE04C2}"/>
            </c:ext>
          </c:extLst>
        </c:ser>
        <c:dLbls>
          <c:dLblPos val="outEnd"/>
          <c:showLegendKey val="0"/>
          <c:showVal val="1"/>
          <c:showCatName val="0"/>
          <c:showSerName val="0"/>
          <c:showPercent val="0"/>
          <c:showBubbleSize val="0"/>
        </c:dLbls>
        <c:gapWidth val="219"/>
        <c:overlap val="-27"/>
        <c:axId val="164113296"/>
        <c:axId val="164113776"/>
      </c:barChart>
      <c:catAx>
        <c:axId val="16411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3776"/>
        <c:crosses val="autoZero"/>
        <c:auto val="1"/>
        <c:lblAlgn val="ctr"/>
        <c:lblOffset val="100"/>
        <c:noMultiLvlLbl val="0"/>
      </c:catAx>
      <c:valAx>
        <c:axId val="16411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329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Skills by Confidence</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tx>
            <c:strRef>
              <c:f>'Top 5 Skills by Confidence'!$B$3</c:f>
              <c:strCache>
                <c:ptCount val="1"/>
                <c:pt idx="0">
                  <c:v>Confidence %</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C065-4404-9034-23BB088BABB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065-4404-9034-23BB088BABB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065-4404-9034-23BB088BABB2}"/>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C065-4404-9034-23BB088BABB2}"/>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C065-4404-9034-23BB088BABB2}"/>
              </c:ext>
            </c:extLst>
          </c:dPt>
          <c:cat>
            <c:strRef>
              <c:f>'Top 5 Skills by Confidence'!$A$4:$A$8</c:f>
              <c:strCache>
                <c:ptCount val="5"/>
                <c:pt idx="0">
                  <c:v>Machine Learning</c:v>
                </c:pt>
                <c:pt idx="1">
                  <c:v>Public Speaking</c:v>
                </c:pt>
                <c:pt idx="2">
                  <c:v>Power BI</c:v>
                </c:pt>
                <c:pt idx="3">
                  <c:v>Excel</c:v>
                </c:pt>
                <c:pt idx="4">
                  <c:v>Data Cleaning</c:v>
                </c:pt>
              </c:strCache>
            </c:strRef>
          </c:cat>
          <c:val>
            <c:numRef>
              <c:f>'Top 5 Skills by Confidence'!$B$4:$B$8</c:f>
              <c:numCache>
                <c:formatCode>0.00</c:formatCode>
                <c:ptCount val="5"/>
                <c:pt idx="0">
                  <c:v>499.1</c:v>
                </c:pt>
                <c:pt idx="1">
                  <c:v>498.1</c:v>
                </c:pt>
                <c:pt idx="2">
                  <c:v>497.1</c:v>
                </c:pt>
                <c:pt idx="3">
                  <c:v>496.1</c:v>
                </c:pt>
                <c:pt idx="4">
                  <c:v>495.1</c:v>
                </c:pt>
              </c:numCache>
            </c:numRef>
          </c:val>
          <c:extLst>
            <c:ext xmlns:c16="http://schemas.microsoft.com/office/drawing/2014/chart" uri="{C3380CC4-5D6E-409C-BE32-E72D297353CC}">
              <c16:uniqueId val="{00000000-BF06-4E54-9938-52B82DA793A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Confidence Progress Over Time</a:t>
            </a:r>
            <a:endParaRPr lang="en-US" b="1"/>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8"/>
              <c:pt idx="0">
                <c:v>2025-07-01</c:v>
              </c:pt>
              <c:pt idx="1">
                <c:v>2025-07-02</c:v>
              </c:pt>
              <c:pt idx="2">
                <c:v>2025-07-03</c:v>
              </c:pt>
              <c:pt idx="3">
                <c:v>2025-07-04</c:v>
              </c:pt>
              <c:pt idx="4">
                <c:v>2025-07-05</c:v>
              </c:pt>
              <c:pt idx="5">
                <c:v>2025-07-06</c:v>
              </c:pt>
              <c:pt idx="6">
                <c:v>2025-07-07</c:v>
              </c:pt>
              <c:pt idx="7">
                <c:v>2025-07-08</c:v>
              </c:pt>
            </c:strLit>
          </c:cat>
          <c:val>
            <c:numLit>
              <c:formatCode>General</c:formatCode>
              <c:ptCount val="8"/>
              <c:pt idx="0">
                <c:v>247.84999999999997</c:v>
              </c:pt>
              <c:pt idx="1">
                <c:v>226.67142857142855</c:v>
              </c:pt>
              <c:pt idx="2">
                <c:v>266.47499999999997</c:v>
              </c:pt>
              <c:pt idx="3">
                <c:v>235.26666666666662</c:v>
              </c:pt>
              <c:pt idx="4">
                <c:v>337.5</c:v>
              </c:pt>
              <c:pt idx="5">
                <c:v>241.09999999999994</c:v>
              </c:pt>
              <c:pt idx="6">
                <c:v>224.43333333333328</c:v>
              </c:pt>
              <c:pt idx="7">
                <c:v>189.09999999999994</c:v>
              </c:pt>
            </c:numLit>
          </c:val>
          <c:smooth val="0"/>
          <c:extLst>
            <c:ext xmlns:c16="http://schemas.microsoft.com/office/drawing/2014/chart" uri="{C3380CC4-5D6E-409C-BE32-E72D297353CC}">
              <c16:uniqueId val="{00000000-73F2-48F5-91F7-5154BEAC2F92}"/>
            </c:ext>
          </c:extLst>
        </c:ser>
        <c:dLbls>
          <c:showLegendKey val="0"/>
          <c:showVal val="0"/>
          <c:showCatName val="0"/>
          <c:showSerName val="0"/>
          <c:showPercent val="0"/>
          <c:showBubbleSize val="0"/>
        </c:dLbls>
        <c:smooth val="0"/>
        <c:axId val="2039178336"/>
        <c:axId val="2039178816"/>
      </c:lineChart>
      <c:catAx>
        <c:axId val="20391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8816"/>
        <c:crosses val="autoZero"/>
        <c:auto val="1"/>
        <c:lblAlgn val="ctr"/>
        <c:lblOffset val="100"/>
        <c:noMultiLvlLbl val="0"/>
      </c:catAx>
      <c:valAx>
        <c:axId val="203917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8336"/>
        <c:crosses val="autoZero"/>
        <c:crossBetween val="between"/>
      </c:valAx>
      <c:spPr>
        <a:solidFill>
          <a:schemeClr val="bg1"/>
        </a:solid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Skill Completion Status</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[1]Dashboard!$E$1</c:f>
              <c:strCache>
                <c:ptCount val="1"/>
                <c:pt idx="0">
                  <c:v>Count</c:v>
                </c:pt>
              </c:strCache>
            </c:strRef>
          </c:tx>
          <c:spPr>
            <a:solidFill>
              <a:schemeClr val="accent2">
                <a:lumMod val="60000"/>
                <a:lumOff val="40000"/>
              </a:schemeClr>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336-4938-910E-98B5862D6826}"/>
              </c:ext>
            </c:extLst>
          </c:dPt>
          <c:dPt>
            <c:idx val="1"/>
            <c:invertIfNegative val="0"/>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336-4938-910E-98B5862D682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fld id="{97BCAEE1-B099-4725-8CEF-63E6F4E40B48}" type="CATEGORYNAME">
                      <a:rPr lang="en-US">
                        <a:solidFill>
                          <a:schemeClr val="tx1">
                            <a:lumMod val="50000"/>
                            <a:lumOff val="50000"/>
                          </a:schemeClr>
                        </a:solidFill>
                      </a:rPr>
                      <a:pPr>
                        <a:defRPr>
                          <a:solidFill>
                            <a:schemeClr val="accent5">
                              <a:shade val="76000"/>
                            </a:schemeClr>
                          </a:solidFill>
                        </a:defRPr>
                      </a:pPr>
                      <a:t>[CATEGORY NAME]</a:t>
                    </a:fld>
                    <a:r>
                      <a:rPr lang="en-US" baseline="0">
                        <a:solidFill>
                          <a:schemeClr val="tx1">
                            <a:lumMod val="50000"/>
                            <a:lumOff val="50000"/>
                          </a:schemeClr>
                        </a:solidFill>
                      </a:rPr>
                      <a:t>, </a:t>
                    </a:r>
                    <a:fld id="{DCA30797-5E4D-4C8D-B6DC-6181DACCEB93}" type="VALUE">
                      <a:rPr lang="en-US" baseline="0">
                        <a:solidFill>
                          <a:schemeClr val="tx1">
                            <a:lumMod val="50000"/>
                            <a:lumOff val="50000"/>
                          </a:schemeClr>
                        </a:solidFill>
                      </a:rPr>
                      <a:pPr>
                        <a:defRPr>
                          <a:solidFill>
                            <a:schemeClr val="accent5">
                              <a:shade val="76000"/>
                            </a:schemeClr>
                          </a:solidFill>
                        </a:defRPr>
                      </a:pPr>
                      <a:t>[VALUE]</a:t>
                    </a:fld>
                    <a:endParaRPr lang="en-US" baseline="0">
                      <a:solidFill>
                        <a:schemeClr val="tx1">
                          <a:lumMod val="50000"/>
                          <a:lumOff val="50000"/>
                        </a:schemeClr>
                      </a:solidFill>
                    </a:endParaRPr>
                  </a:p>
                </c:rich>
              </c:tx>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336-4938-910E-98B5862D682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fld id="{CCC9C033-AB2B-4C35-A294-0C2664B3AF1C}" type="CATEGORYNAME">
                      <a:rPr lang="en-US">
                        <a:solidFill>
                          <a:schemeClr val="tx1">
                            <a:lumMod val="50000"/>
                            <a:lumOff val="50000"/>
                          </a:schemeClr>
                        </a:solidFill>
                      </a:rPr>
                      <a:pPr>
                        <a:defRPr>
                          <a:solidFill>
                            <a:schemeClr val="accent5">
                              <a:tint val="77000"/>
                            </a:schemeClr>
                          </a:solidFill>
                        </a:defRPr>
                      </a:pPr>
                      <a:t>[CATEGORY NAME]</a:t>
                    </a:fld>
                    <a:r>
                      <a:rPr lang="en-US" baseline="0">
                        <a:solidFill>
                          <a:schemeClr val="tx1">
                            <a:lumMod val="50000"/>
                            <a:lumOff val="50000"/>
                          </a:schemeClr>
                        </a:solidFill>
                      </a:rPr>
                      <a:t>, </a:t>
                    </a:r>
                    <a:fld id="{6DF9486F-0335-450E-89DF-0D90B027F7F7}" type="VALUE">
                      <a:rPr lang="en-US" baseline="0">
                        <a:solidFill>
                          <a:schemeClr val="tx1">
                            <a:lumMod val="50000"/>
                            <a:lumOff val="50000"/>
                          </a:schemeClr>
                        </a:solidFill>
                      </a:rPr>
                      <a:pPr>
                        <a:defRPr>
                          <a:solidFill>
                            <a:schemeClr val="accent5">
                              <a:tint val="77000"/>
                            </a:schemeClr>
                          </a:solidFill>
                        </a:defRPr>
                      </a:pPr>
                      <a:t>[VALUE]</a:t>
                    </a:fld>
                    <a:endParaRPr lang="en-US" baseline="0">
                      <a:solidFill>
                        <a:schemeClr val="tx1">
                          <a:lumMod val="50000"/>
                          <a:lumOff val="50000"/>
                        </a:schemeClr>
                      </a:solidFill>
                    </a:endParaRPr>
                  </a:p>
                </c:rich>
              </c:tx>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336-4938-910E-98B5862D6826}"/>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[1]Dashboard!$D$2:$D$3</c:f>
              <c:strCache>
                <c:ptCount val="2"/>
                <c:pt idx="0">
                  <c:v>Completed</c:v>
                </c:pt>
                <c:pt idx="1">
                  <c:v>In Progress</c:v>
                </c:pt>
              </c:strCache>
            </c:strRef>
          </c:cat>
          <c:val>
            <c:numRef>
              <c:f>[1]Dashboard!$E$2:$E$3</c:f>
              <c:numCache>
                <c:formatCode>General</c:formatCode>
                <c:ptCount val="2"/>
                <c:pt idx="0">
                  <c:v>120</c:v>
                </c:pt>
                <c:pt idx="1">
                  <c:v>126</c:v>
                </c:pt>
              </c:numCache>
            </c:numRef>
          </c:val>
          <c:extLst>
            <c:ext xmlns:c16="http://schemas.microsoft.com/office/drawing/2014/chart" uri="{C3380CC4-5D6E-409C-BE32-E72D297353CC}">
              <c16:uniqueId val="{00000004-5336-4938-910E-98B5862D6826}"/>
            </c:ext>
          </c:extLst>
        </c:ser>
        <c:dLbls>
          <c:showLegendKey val="0"/>
          <c:showVal val="0"/>
          <c:showCatName val="0"/>
          <c:showSerName val="0"/>
          <c:showPercent val="0"/>
          <c:showBubbleSize val="0"/>
        </c:dLbls>
        <c:gapWidth val="100"/>
        <c:axId val="845443503"/>
        <c:axId val="845426223"/>
      </c:barChart>
      <c:catAx>
        <c:axId val="84544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26223"/>
        <c:crosses val="autoZero"/>
        <c:auto val="1"/>
        <c:lblAlgn val="ctr"/>
        <c:lblOffset val="100"/>
        <c:noMultiLvlLbl val="0"/>
      </c:catAx>
      <c:valAx>
        <c:axId val="84542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4350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horizontalDpi="300" verticalDpi="30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622143</xdr:colOff>
      <xdr:row>1</xdr:row>
      <xdr:rowOff>1263103</xdr:rowOff>
    </xdr:from>
    <xdr:to>
      <xdr:col>10</xdr:col>
      <xdr:colOff>734204</xdr:colOff>
      <xdr:row>14</xdr:row>
      <xdr:rowOff>149362</xdr:rowOff>
    </xdr:to>
    <xdr:graphicFrame macro="">
      <xdr:nvGraphicFramePr>
        <xdr:cNvPr id="12" name="Chart 11">
          <a:extLst>
            <a:ext uri="{FF2B5EF4-FFF2-40B4-BE49-F238E27FC236}">
              <a16:creationId xmlns:a16="http://schemas.microsoft.com/office/drawing/2014/main" id="{EB3A124C-D417-4335-A975-4C90F20F2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1475759</xdr:colOff>
      <xdr:row>15</xdr:row>
      <xdr:rowOff>38129</xdr:rowOff>
    </xdr:from>
    <xdr:to>
      <xdr:col>7</xdr:col>
      <xdr:colOff>489286</xdr:colOff>
      <xdr:row>29</xdr:row>
      <xdr:rowOff>82303</xdr:rowOff>
    </xdr:to>
    <xdr:graphicFrame macro="">
      <xdr:nvGraphicFramePr>
        <xdr:cNvPr id="16" name="Chart 15">
          <a:extLst>
            <a:ext uri="{FF2B5EF4-FFF2-40B4-BE49-F238E27FC236}">
              <a16:creationId xmlns:a16="http://schemas.microsoft.com/office/drawing/2014/main" id="{ED534832-DC87-4FD0-9A19-673A39F75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780051</xdr:colOff>
      <xdr:row>15</xdr:row>
      <xdr:rowOff>46861</xdr:rowOff>
    </xdr:from>
    <xdr:to>
      <xdr:col>13</xdr:col>
      <xdr:colOff>1381825</xdr:colOff>
      <xdr:row>29</xdr:row>
      <xdr:rowOff>62280</xdr:rowOff>
    </xdr:to>
    <xdr:graphicFrame macro="">
      <xdr:nvGraphicFramePr>
        <xdr:cNvPr id="18" name="Chart 17">
          <a:extLst>
            <a:ext uri="{FF2B5EF4-FFF2-40B4-BE49-F238E27FC236}">
              <a16:creationId xmlns:a16="http://schemas.microsoft.com/office/drawing/2014/main" id="{FCA475CD-E3E4-405E-BCA5-E7609326A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1034715</xdr:colOff>
      <xdr:row>1</xdr:row>
      <xdr:rowOff>1256751</xdr:rowOff>
    </xdr:from>
    <xdr:to>
      <xdr:col>6</xdr:col>
      <xdr:colOff>551224</xdr:colOff>
      <xdr:row>14</xdr:row>
      <xdr:rowOff>110065</xdr:rowOff>
    </xdr:to>
    <xdr:graphicFrame macro="">
      <xdr:nvGraphicFramePr>
        <xdr:cNvPr id="19" name="Chart 18">
          <a:extLst>
            <a:ext uri="{FF2B5EF4-FFF2-40B4-BE49-F238E27FC236}">
              <a16:creationId xmlns:a16="http://schemas.microsoft.com/office/drawing/2014/main" id="{C3F618FB-C37E-4A7D-A4B1-70B6E494B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243895</xdr:colOff>
      <xdr:row>1</xdr:row>
      <xdr:rowOff>303790</xdr:rowOff>
    </xdr:from>
    <xdr:to>
      <xdr:col>0</xdr:col>
      <xdr:colOff>2249679</xdr:colOff>
      <xdr:row>1</xdr:row>
      <xdr:rowOff>1153102</xdr:rowOff>
    </xdr:to>
    <xdr:sp macro="" textlink="">
      <xdr:nvSpPr>
        <xdr:cNvPr id="17" name="Rectangle: Rounded Corners 16">
          <a:extLst>
            <a:ext uri="{FF2B5EF4-FFF2-40B4-BE49-F238E27FC236}">
              <a16:creationId xmlns:a16="http://schemas.microsoft.com/office/drawing/2014/main" id="{86B5C349-AA8F-8D21-DCFF-7949E5917862}"/>
            </a:ext>
          </a:extLst>
        </xdr:cNvPr>
        <xdr:cNvSpPr/>
      </xdr:nvSpPr>
      <xdr:spPr>
        <a:xfrm>
          <a:off x="243895" y="934942"/>
          <a:ext cx="2005784" cy="849312"/>
        </a:xfrm>
        <a:prstGeom prst="round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a:t>Total Skills: 500 </a:t>
          </a:r>
        </a:p>
      </xdr:txBody>
    </xdr:sp>
    <xdr:clientData/>
  </xdr:twoCellAnchor>
  <xdr:twoCellAnchor>
    <xdr:from>
      <xdr:col>1</xdr:col>
      <xdr:colOff>565727</xdr:colOff>
      <xdr:row>1</xdr:row>
      <xdr:rowOff>311248</xdr:rowOff>
    </xdr:from>
    <xdr:to>
      <xdr:col>3</xdr:col>
      <xdr:colOff>793029</xdr:colOff>
      <xdr:row>1</xdr:row>
      <xdr:rowOff>1120872</xdr:rowOff>
    </xdr:to>
    <xdr:sp macro="" textlink="">
      <xdr:nvSpPr>
        <xdr:cNvPr id="22" name="Rectangle: Rounded Corners 21">
          <a:extLst>
            <a:ext uri="{FF2B5EF4-FFF2-40B4-BE49-F238E27FC236}">
              <a16:creationId xmlns:a16="http://schemas.microsoft.com/office/drawing/2014/main" id="{41982EF7-7AAC-BFE5-DA37-BB3B5FA91B81}"/>
            </a:ext>
          </a:extLst>
        </xdr:cNvPr>
        <xdr:cNvSpPr/>
      </xdr:nvSpPr>
      <xdr:spPr>
        <a:xfrm>
          <a:off x="2928697" y="942400"/>
          <a:ext cx="2120756" cy="809624"/>
        </a:xfrm>
        <a:prstGeom prst="round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Skills Completed: 120  </a:t>
          </a:r>
        </a:p>
      </xdr:txBody>
    </xdr:sp>
    <xdr:clientData/>
  </xdr:twoCellAnchor>
  <xdr:twoCellAnchor>
    <xdr:from>
      <xdr:col>4</xdr:col>
      <xdr:colOff>750106</xdr:colOff>
      <xdr:row>1</xdr:row>
      <xdr:rowOff>353588</xdr:rowOff>
    </xdr:from>
    <xdr:to>
      <xdr:col>7</xdr:col>
      <xdr:colOff>575481</xdr:colOff>
      <xdr:row>1</xdr:row>
      <xdr:rowOff>1123524</xdr:rowOff>
    </xdr:to>
    <xdr:sp macro="" textlink="">
      <xdr:nvSpPr>
        <xdr:cNvPr id="23" name="Rectangle: Rounded Corners 22">
          <a:extLst>
            <a:ext uri="{FF2B5EF4-FFF2-40B4-BE49-F238E27FC236}">
              <a16:creationId xmlns:a16="http://schemas.microsoft.com/office/drawing/2014/main" id="{320AD5A8-B025-70F6-195B-41A194AF31A6}"/>
            </a:ext>
          </a:extLst>
        </xdr:cNvPr>
        <xdr:cNvSpPr/>
      </xdr:nvSpPr>
      <xdr:spPr>
        <a:xfrm>
          <a:off x="5851495" y="987251"/>
          <a:ext cx="2255754" cy="769936"/>
        </a:xfrm>
        <a:prstGeom prst="round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a:t>In Progress: 126  </a:t>
          </a:r>
        </a:p>
      </xdr:txBody>
    </xdr:sp>
    <xdr:clientData/>
  </xdr:twoCellAnchor>
  <xdr:twoCellAnchor>
    <xdr:from>
      <xdr:col>7</xdr:col>
      <xdr:colOff>1430098</xdr:colOff>
      <xdr:row>1</xdr:row>
      <xdr:rowOff>256502</xdr:rowOff>
    </xdr:from>
    <xdr:to>
      <xdr:col>10</xdr:col>
      <xdr:colOff>549036</xdr:colOff>
      <xdr:row>1</xdr:row>
      <xdr:rowOff>1089939</xdr:rowOff>
    </xdr:to>
    <xdr:sp macro="" textlink="">
      <xdr:nvSpPr>
        <xdr:cNvPr id="25" name="Rectangle: Rounded Corners 24">
          <a:extLst>
            <a:ext uri="{FF2B5EF4-FFF2-40B4-BE49-F238E27FC236}">
              <a16:creationId xmlns:a16="http://schemas.microsoft.com/office/drawing/2014/main" id="{1334902F-6655-0237-0624-94ABB5C4D27D}"/>
            </a:ext>
          </a:extLst>
        </xdr:cNvPr>
        <xdr:cNvSpPr/>
      </xdr:nvSpPr>
      <xdr:spPr>
        <a:xfrm>
          <a:off x="8982365" y="891502"/>
          <a:ext cx="2200804" cy="833437"/>
        </a:xfrm>
        <a:prstGeom prst="round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a:t>Total Time Spent: 15,397 hrs  </a:t>
          </a:r>
        </a:p>
      </xdr:txBody>
    </xdr:sp>
    <xdr:clientData/>
  </xdr:twoCellAnchor>
  <xdr:twoCellAnchor>
    <xdr:from>
      <xdr:col>10</xdr:col>
      <xdr:colOff>1411941</xdr:colOff>
      <xdr:row>1</xdr:row>
      <xdr:rowOff>334962</xdr:rowOff>
    </xdr:from>
    <xdr:to>
      <xdr:col>13</xdr:col>
      <xdr:colOff>1253932</xdr:colOff>
      <xdr:row>1</xdr:row>
      <xdr:rowOff>1128713</xdr:rowOff>
    </xdr:to>
    <xdr:sp macro="" textlink="">
      <xdr:nvSpPr>
        <xdr:cNvPr id="26" name="Rectangle: Rounded Corners 25">
          <a:extLst>
            <a:ext uri="{FF2B5EF4-FFF2-40B4-BE49-F238E27FC236}">
              <a16:creationId xmlns:a16="http://schemas.microsoft.com/office/drawing/2014/main" id="{E91E87C3-3F77-5363-B08D-93CA17380BB0}"/>
            </a:ext>
          </a:extLst>
        </xdr:cNvPr>
        <xdr:cNvSpPr/>
      </xdr:nvSpPr>
      <xdr:spPr>
        <a:xfrm>
          <a:off x="12027647" y="969962"/>
          <a:ext cx="2919873" cy="793751"/>
        </a:xfrm>
        <a:prstGeom prst="round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a:t>Average Confidence:</a:t>
          </a:r>
        </a:p>
        <a:p>
          <a:pPr algn="ctr"/>
          <a:r>
            <a:rPr lang="en-US" sz="2000"/>
            <a:t> 249.60%</a:t>
          </a:r>
        </a:p>
      </xdr:txBody>
    </xdr:sp>
    <xdr:clientData/>
  </xdr:twoCellAnchor>
  <xdr:twoCellAnchor editAs="oneCell">
    <xdr:from>
      <xdr:col>0</xdr:col>
      <xdr:colOff>116707</xdr:colOff>
      <xdr:row>15</xdr:row>
      <xdr:rowOff>52538</xdr:rowOff>
    </xdr:from>
    <xdr:to>
      <xdr:col>0</xdr:col>
      <xdr:colOff>1945507</xdr:colOff>
      <xdr:row>29</xdr:row>
      <xdr:rowOff>51034</xdr:rowOff>
    </xdr:to>
    <mc:AlternateContent xmlns:mc="http://schemas.openxmlformats.org/markup-compatibility/2006" xmlns:a14="http://schemas.microsoft.com/office/drawing/2010/main">
      <mc:Choice Requires="a14">
        <xdr:graphicFrame macro="">
          <xdr:nvGraphicFramePr>
            <xdr:cNvPr id="27" name="Status">
              <a:extLst>
                <a:ext uri="{FF2B5EF4-FFF2-40B4-BE49-F238E27FC236}">
                  <a16:creationId xmlns:a16="http://schemas.microsoft.com/office/drawing/2014/main" id="{922BCFC1-7CBE-BF4B-2193-501B22D6183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6707" y="4640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1966360</xdr:colOff>
      <xdr:row>15</xdr:row>
      <xdr:rowOff>56147</xdr:rowOff>
    </xdr:from>
    <xdr:to>
      <xdr:col>1</xdr:col>
      <xdr:colOff>1428949</xdr:colOff>
      <xdr:row>29</xdr:row>
      <xdr:rowOff>54643</xdr:rowOff>
    </xdr:to>
    <mc:AlternateContent xmlns:mc="http://schemas.openxmlformats.org/markup-compatibility/2006" xmlns:a14="http://schemas.microsoft.com/office/drawing/2010/main">
      <mc:Choice Requires="a14">
        <xdr:graphicFrame macro="">
          <xdr:nvGraphicFramePr>
            <xdr:cNvPr id="28" name="Confidence %">
              <a:extLst>
                <a:ext uri="{FF2B5EF4-FFF2-40B4-BE49-F238E27FC236}">
                  <a16:creationId xmlns:a16="http://schemas.microsoft.com/office/drawing/2014/main" id="{C0479058-7E0C-F723-B46F-E18537AD6221}"/>
                </a:ext>
              </a:extLst>
            </xdr:cNvPr>
            <xdr:cNvGraphicFramePr/>
          </xdr:nvGraphicFramePr>
          <xdr:xfrm>
            <a:off x="0" y="0"/>
            <a:ext cx="0" cy="0"/>
          </xdr:xfrm>
          <a:graphic>
            <a:graphicData uri="http://schemas.microsoft.com/office/drawing/2010/slicer">
              <sle:slicer xmlns:sle="http://schemas.microsoft.com/office/drawing/2010/slicer" name="Confidence %"/>
            </a:graphicData>
          </a:graphic>
        </xdr:graphicFrame>
      </mc:Choice>
      <mc:Fallback xmlns="">
        <xdr:sp macro="" textlink="">
          <xdr:nvSpPr>
            <xdr:cNvPr id="0" name=""/>
            <xdr:cNvSpPr>
              <a:spLocks noTextEdit="1"/>
            </xdr:cNvSpPr>
          </xdr:nvSpPr>
          <xdr:spPr>
            <a:xfrm>
              <a:off x="1966360" y="4644189"/>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192505</xdr:colOff>
      <xdr:row>1</xdr:row>
      <xdr:rowOff>1267327</xdr:rowOff>
    </xdr:from>
    <xdr:to>
      <xdr:col>1</xdr:col>
      <xdr:colOff>960108</xdr:colOff>
      <xdr:row>14</xdr:row>
      <xdr:rowOff>134631</xdr:rowOff>
    </xdr:to>
    <xdr:graphicFrame macro="">
      <xdr:nvGraphicFramePr>
        <xdr:cNvPr id="2" name="Chart 1">
          <a:extLst>
            <a:ext uri="{FF2B5EF4-FFF2-40B4-BE49-F238E27FC236}">
              <a16:creationId xmlns:a16="http://schemas.microsoft.com/office/drawing/2014/main" id="{977DE821-1C30-47D7-A80D-F84779417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794084</xdr:colOff>
      <xdr:row>1</xdr:row>
      <xdr:rowOff>1259305</xdr:rowOff>
    </xdr:from>
    <xdr:to>
      <xdr:col>13</xdr:col>
      <xdr:colOff>1403684</xdr:colOff>
      <xdr:row>14</xdr:row>
      <xdr:rowOff>128336</xdr:rowOff>
    </xdr:to>
    <xdr:graphicFrame macro="">
      <xdr:nvGraphicFramePr>
        <xdr:cNvPr id="5" name="Chart 4">
          <a:extLst>
            <a:ext uri="{FF2B5EF4-FFF2-40B4-BE49-F238E27FC236}">
              <a16:creationId xmlns:a16="http://schemas.microsoft.com/office/drawing/2014/main" id="{3FEB4F17-BE12-49F3-A039-D05B9F5B0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569495</xdr:colOff>
      <xdr:row>15</xdr:row>
      <xdr:rowOff>16042</xdr:rowOff>
    </xdr:from>
    <xdr:to>
      <xdr:col>10</xdr:col>
      <xdr:colOff>705852</xdr:colOff>
      <xdr:row>29</xdr:row>
      <xdr:rowOff>103908</xdr:rowOff>
    </xdr:to>
    <xdr:graphicFrame macro="">
      <xdr:nvGraphicFramePr>
        <xdr:cNvPr id="3" name="Chart 2">
          <a:extLst>
            <a:ext uri="{FF2B5EF4-FFF2-40B4-BE49-F238E27FC236}">
              <a16:creationId xmlns:a16="http://schemas.microsoft.com/office/drawing/2014/main" id="{2B56D845-6509-494E-9CF1-2E65003FC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1559790</xdr:colOff>
      <xdr:row>15</xdr:row>
      <xdr:rowOff>21704</xdr:rowOff>
    </xdr:from>
    <xdr:to>
      <xdr:col>15</xdr:col>
      <xdr:colOff>464819</xdr:colOff>
      <xdr:row>29</xdr:row>
      <xdr:rowOff>42660</xdr:rowOff>
    </xdr:to>
    <mc:AlternateContent xmlns:mc="http://schemas.openxmlformats.org/markup-compatibility/2006">
      <mc:Choice xmlns:a14="http://schemas.microsoft.com/office/drawing/2010/main" Requires="a14">
        <xdr:graphicFrame macro="">
          <xdr:nvGraphicFramePr>
            <xdr:cNvPr id="4" name="Skill Name">
              <a:extLst>
                <a:ext uri="{FF2B5EF4-FFF2-40B4-BE49-F238E27FC236}">
                  <a16:creationId xmlns:a16="http://schemas.microsoft.com/office/drawing/2014/main" id="{9B1AA548-80D5-2F4D-E451-DB0DCC556922}"/>
                </a:ext>
              </a:extLst>
            </xdr:cNvPr>
            <xdr:cNvGraphicFramePr/>
          </xdr:nvGraphicFramePr>
          <xdr:xfrm>
            <a:off x="0" y="0"/>
            <a:ext cx="0" cy="0"/>
          </xdr:xfrm>
          <a:graphic>
            <a:graphicData uri="http://schemas.microsoft.com/office/drawing/2010/slicer">
              <sle:slicer xmlns:sle="http://schemas.microsoft.com/office/drawing/2010/slicer" name="Skill Name"/>
            </a:graphicData>
          </a:graphic>
        </xdr:graphicFrame>
      </mc:Choice>
      <mc:Fallback>
        <xdr:sp macro="" textlink="">
          <xdr:nvSpPr>
            <xdr:cNvPr id="0" name=""/>
            <xdr:cNvSpPr>
              <a:spLocks noTextEdit="1"/>
            </xdr:cNvSpPr>
          </xdr:nvSpPr>
          <xdr:spPr>
            <a:xfrm>
              <a:off x="15250806" y="4618688"/>
              <a:ext cx="1828111" cy="2644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350521</xdr:colOff>
      <xdr:row>0</xdr:row>
      <xdr:rowOff>0</xdr:rowOff>
    </xdr:from>
    <xdr:to>
      <xdr:col>13</xdr:col>
      <xdr:colOff>746761</xdr:colOff>
      <xdr:row>1</xdr:row>
      <xdr:rowOff>153671</xdr:rowOff>
    </xdr:to>
    <xdr:sp macro="" textlink="">
      <xdr:nvSpPr>
        <xdr:cNvPr id="9" name="Rectangle: Rounded Corners 8">
          <a:extLst>
            <a:ext uri="{FF2B5EF4-FFF2-40B4-BE49-F238E27FC236}">
              <a16:creationId xmlns:a16="http://schemas.microsoft.com/office/drawing/2014/main" id="{413B290F-280D-BB84-3FF1-FA53B186316C}"/>
            </a:ext>
          </a:extLst>
        </xdr:cNvPr>
        <xdr:cNvSpPr/>
      </xdr:nvSpPr>
      <xdr:spPr>
        <a:xfrm>
          <a:off x="350521" y="0"/>
          <a:ext cx="14127480" cy="793751"/>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a:p>
      </xdr:txBody>
    </xdr:sp>
    <xdr:clientData/>
  </xdr:twoCellAnchor>
  <xdr:twoCellAnchor editAs="oneCell">
    <xdr:from>
      <xdr:col>13</xdr:col>
      <xdr:colOff>1567872</xdr:colOff>
      <xdr:row>1</xdr:row>
      <xdr:rowOff>1225896</xdr:rowOff>
    </xdr:from>
    <xdr:to>
      <xdr:col>15</xdr:col>
      <xdr:colOff>472901</xdr:colOff>
      <xdr:row>14</xdr:row>
      <xdr:rowOff>84917</xdr:rowOff>
    </xdr:to>
    <mc:AlternateContent xmlns:mc="http://schemas.openxmlformats.org/markup-compatibility/2006">
      <mc:Choice xmlns:a14="http://schemas.microsoft.com/office/drawing/2010/main" Requires="a14">
        <xdr:graphicFrame macro="">
          <xdr:nvGraphicFramePr>
            <xdr:cNvPr id="6" name="Time Spent (hrs)">
              <a:extLst>
                <a:ext uri="{FF2B5EF4-FFF2-40B4-BE49-F238E27FC236}">
                  <a16:creationId xmlns:a16="http://schemas.microsoft.com/office/drawing/2014/main" id="{1D2ED353-3B37-231E-DEF8-4182D3974F71}"/>
                </a:ext>
              </a:extLst>
            </xdr:cNvPr>
            <xdr:cNvGraphicFramePr/>
          </xdr:nvGraphicFramePr>
          <xdr:xfrm>
            <a:off x="0" y="0"/>
            <a:ext cx="0" cy="0"/>
          </xdr:xfrm>
          <a:graphic>
            <a:graphicData uri="http://schemas.microsoft.com/office/drawing/2010/slicer">
              <sle:slicer xmlns:sle="http://schemas.microsoft.com/office/drawing/2010/slicer" name="Time Spent (hrs)"/>
            </a:graphicData>
          </a:graphic>
        </xdr:graphicFrame>
      </mc:Choice>
      <mc:Fallback>
        <xdr:sp macro="" textlink="">
          <xdr:nvSpPr>
            <xdr:cNvPr id="0" name=""/>
            <xdr:cNvSpPr>
              <a:spLocks noTextEdit="1"/>
            </xdr:cNvSpPr>
          </xdr:nvSpPr>
          <xdr:spPr>
            <a:xfrm>
              <a:off x="15258888" y="1862978"/>
              <a:ext cx="1828111" cy="263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1950720</xdr:colOff>
      <xdr:row>0</xdr:row>
      <xdr:rowOff>0</xdr:rowOff>
    </xdr:from>
    <xdr:to>
      <xdr:col>1</xdr:col>
      <xdr:colOff>365760</xdr:colOff>
      <xdr:row>1</xdr:row>
      <xdr:rowOff>137160</xdr:rowOff>
    </xdr:to>
    <xdr:pic>
      <xdr:nvPicPr>
        <xdr:cNvPr id="11" name="Graphic 10" descr="Programmer female with solid fill">
          <a:extLst>
            <a:ext uri="{FF2B5EF4-FFF2-40B4-BE49-F238E27FC236}">
              <a16:creationId xmlns:a16="http://schemas.microsoft.com/office/drawing/2014/main" id="{61922B9B-464C-A483-2EC6-0430F03007A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50720" y="0"/>
          <a:ext cx="777240" cy="777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365766</xdr:colOff>
      <xdr:row>1</xdr:row>
      <xdr:rowOff>102870</xdr:rowOff>
    </xdr:from>
    <xdr:to>
      <xdr:col>10</xdr:col>
      <xdr:colOff>60966</xdr:colOff>
      <xdr:row>16</xdr:row>
      <xdr:rowOff>102870</xdr:rowOff>
    </xdr:to>
    <xdr:graphicFrame macro="">
      <xdr:nvGraphicFramePr>
        <xdr:cNvPr id="2" name="Chart 1">
          <a:extLst>
            <a:ext uri="{FF2B5EF4-FFF2-40B4-BE49-F238E27FC236}">
              <a16:creationId xmlns:a16="http://schemas.microsoft.com/office/drawing/2014/main" id="{DB87D8A6-DD62-C102-19E6-94042EDFA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129540</xdr:colOff>
      <xdr:row>19</xdr:row>
      <xdr:rowOff>41910</xdr:rowOff>
    </xdr:to>
    <xdr:graphicFrame macro="">
      <xdr:nvGraphicFramePr>
        <xdr:cNvPr id="2" name="Chart 1">
          <a:extLst>
            <a:ext uri="{FF2B5EF4-FFF2-40B4-BE49-F238E27FC236}">
              <a16:creationId xmlns:a16="http://schemas.microsoft.com/office/drawing/2014/main" id="{CC502A87-CA8D-4423-A8B8-D31EBFB88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480060</xdr:colOff>
      <xdr:row>2</xdr:row>
      <xdr:rowOff>80010</xdr:rowOff>
    </xdr:from>
    <xdr:to>
      <xdr:col>10</xdr:col>
      <xdr:colOff>175260</xdr:colOff>
      <xdr:row>17</xdr:row>
      <xdr:rowOff>80010</xdr:rowOff>
    </xdr:to>
    <xdr:graphicFrame macro="">
      <xdr:nvGraphicFramePr>
        <xdr:cNvPr id="3" name="Chart 2">
          <a:extLst>
            <a:ext uri="{FF2B5EF4-FFF2-40B4-BE49-F238E27FC236}">
              <a16:creationId xmlns:a16="http://schemas.microsoft.com/office/drawing/2014/main" id="{C9CDDED1-6CE5-0610-8CD9-2C38FC636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3835</xdr:colOff>
      <xdr:row>16</xdr:row>
      <xdr:rowOff>66633</xdr:rowOff>
    </xdr:to>
    <xdr:graphicFrame macro="">
      <xdr:nvGraphicFramePr>
        <xdr:cNvPr id="2" name="Chart 1">
          <a:extLst>
            <a:ext uri="{FF2B5EF4-FFF2-40B4-BE49-F238E27FC236}">
              <a16:creationId xmlns:a16="http://schemas.microsoft.com/office/drawing/2014/main" id="{C5910286-2388-4893-861C-1CACD48D3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1</xdr:row>
      <xdr:rowOff>125730</xdr:rowOff>
    </xdr:from>
    <xdr:to>
      <xdr:col>10</xdr:col>
      <xdr:colOff>228600</xdr:colOff>
      <xdr:row>16</xdr:row>
      <xdr:rowOff>125730</xdr:rowOff>
    </xdr:to>
    <xdr:graphicFrame macro="">
      <xdr:nvGraphicFramePr>
        <xdr:cNvPr id="5" name="Chart 4">
          <a:extLst>
            <a:ext uri="{FF2B5EF4-FFF2-40B4-BE49-F238E27FC236}">
              <a16:creationId xmlns:a16="http://schemas.microsoft.com/office/drawing/2014/main" id="{834BD2EF-9778-46F6-5030-6F61AE9AE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2</xdr:row>
      <xdr:rowOff>0</xdr:rowOff>
    </xdr:from>
    <xdr:to>
      <xdr:col>10</xdr:col>
      <xdr:colOff>16237</xdr:colOff>
      <xdr:row>16</xdr:row>
      <xdr:rowOff>37878</xdr:rowOff>
    </xdr:to>
    <xdr:graphicFrame macro="">
      <xdr:nvGraphicFramePr>
        <xdr:cNvPr id="2" name="Chart 1">
          <a:extLst>
            <a:ext uri="{FF2B5EF4-FFF2-40B4-BE49-F238E27FC236}">
              <a16:creationId xmlns:a16="http://schemas.microsoft.com/office/drawing/2014/main" id="{5227EF9C-DEAD-43B5-85A7-246DF0322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2</xdr:row>
      <xdr:rowOff>0</xdr:rowOff>
    </xdr:from>
    <xdr:to>
      <xdr:col>9</xdr:col>
      <xdr:colOff>85814</xdr:colOff>
      <xdr:row>16</xdr:row>
      <xdr:rowOff>46399</xdr:rowOff>
    </xdr:to>
    <xdr:graphicFrame macro="">
      <xdr:nvGraphicFramePr>
        <xdr:cNvPr id="3" name="Chart 2">
          <a:extLst>
            <a:ext uri="{FF2B5EF4-FFF2-40B4-BE49-F238E27FC236}">
              <a16:creationId xmlns:a16="http://schemas.microsoft.com/office/drawing/2014/main" id="{F0AB0A02-E4D3-4091-BE6C-8C587A7F5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aish\Desktop\Practice%20set\skill%20data.xlsx" TargetMode="External"/><Relationship Id="rId1" Type="http://schemas.openxmlformats.org/officeDocument/2006/relationships/externalLinkPath" Target="file:///C:\Users\vaish\Desktop\Practice%20set\skill%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Sheet1"/>
      <sheetName val="Sheet4"/>
      <sheetName val="Skill data"/>
      <sheetName val="Sheet2"/>
      <sheetName val="Dashboard"/>
      <sheetName val="Sheet5"/>
      <sheetName val="Project Info"/>
    </sheetNames>
    <sheetDataSet>
      <sheetData sheetId="0" refreshError="1"/>
      <sheetData sheetId="1">
        <row r="1">
          <cell r="B1" t="str">
            <v>Confidence %</v>
          </cell>
        </row>
      </sheetData>
      <sheetData sheetId="2" refreshError="1"/>
      <sheetData sheetId="3" refreshError="1"/>
      <sheetData sheetId="4" refreshError="1"/>
      <sheetData sheetId="5">
        <row r="1">
          <cell r="E1" t="str">
            <v>Count</v>
          </cell>
        </row>
        <row r="2">
          <cell r="D2" t="str">
            <v>Completed</v>
          </cell>
          <cell r="E2">
            <v>120</v>
          </cell>
        </row>
        <row r="3">
          <cell r="D3" t="str">
            <v>In Progress</v>
          </cell>
          <cell r="E3">
            <v>126</v>
          </cell>
        </row>
      </sheetData>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lgun dhakane" refreshedDate="45876.494184490744" createdVersion="8" refreshedVersion="8" minRefreshableVersion="3" recordCount="500" xr:uid="{66C1A74C-89BE-40D1-89DA-416B44743DA2}">
  <cacheSource type="worksheet">
    <worksheetSource ref="A1:I501" sheet="Skill data"/>
  </cacheSource>
  <cacheFields count="13">
    <cacheField name="S.No" numFmtId="0">
      <sharedItems containsSemiMixedTypes="0" containsString="0" containsNumber="1" containsInteger="1" minValue="1" maxValue="500"/>
    </cacheField>
    <cacheField name="Skill Name" numFmtId="0">
      <sharedItems count="18">
        <s v="Tableau"/>
        <s v="English Grammar"/>
        <s v="MS Word"/>
        <s v="Dashboard Design"/>
        <s v="Email Writing"/>
        <s v="Communication"/>
        <s v="Public Speaking"/>
        <s v="Power BI"/>
        <s v="Statistics"/>
        <s v="Time Management"/>
        <s v="Critical Thinking"/>
        <s v="GitHub"/>
        <s v="Python"/>
        <s v="Excel"/>
        <s v="Machine Learning"/>
        <s v="SQL"/>
        <s v="Problem Solving"/>
        <s v="Data Cleaning"/>
      </sharedItems>
    </cacheField>
    <cacheField name="Start Date" numFmtId="164">
      <sharedItems containsSemiMixedTypes="0" containsNonDate="0" containsDate="1" containsString="0" minDate="2025-05-25T00:00:00" maxDate="2025-07-09T00:00:00" count="45">
        <d v="2025-06-26T00:00:00"/>
        <d v="2025-06-29T00:00:00"/>
        <d v="2025-06-20T00:00:00"/>
        <d v="2025-07-06T00:00:00"/>
        <d v="2025-06-28T00:00:00"/>
        <d v="2025-06-04T00:00:00"/>
        <d v="2025-06-07T00:00:00"/>
        <d v="2025-06-27T00:00:00"/>
        <d v="2025-05-27T00:00:00"/>
        <d v="2025-07-07T00:00:00"/>
        <d v="2025-05-28T00:00:00"/>
        <d v="2025-06-25T00:00:00"/>
        <d v="2025-06-08T00:00:00"/>
        <d v="2025-07-02T00:00:00"/>
        <d v="2025-06-14T00:00:00"/>
        <d v="2025-06-13T00:00:00"/>
        <d v="2025-07-08T00:00:00"/>
        <d v="2025-06-21T00:00:00"/>
        <d v="2025-06-06T00:00:00"/>
        <d v="2025-06-11T00:00:00"/>
        <d v="2025-06-10T00:00:00"/>
        <d v="2025-05-25T00:00:00"/>
        <d v="2025-06-09T00:00:00"/>
        <d v="2025-06-16T00:00:00"/>
        <d v="2025-06-22T00:00:00"/>
        <d v="2025-05-31T00:00:00"/>
        <d v="2025-06-19T00:00:00"/>
        <d v="2025-06-15T00:00:00"/>
        <d v="2025-06-18T00:00:00"/>
        <d v="2025-06-05T00:00:00"/>
        <d v="2025-06-12T00:00:00"/>
        <d v="2025-06-17T00:00:00"/>
        <d v="2025-05-26T00:00:00"/>
        <d v="2025-07-04T00:00:00"/>
        <d v="2025-06-03T00:00:00"/>
        <d v="2025-06-23T00:00:00"/>
        <d v="2025-06-24T00:00:00"/>
        <d v="2025-05-30T00:00:00"/>
        <d v="2025-07-03T00:00:00"/>
        <d v="2025-05-29T00:00:00"/>
        <d v="2025-07-01T00:00:00"/>
        <d v="2025-06-02T00:00:00"/>
        <d v="2025-07-05T00:00:00"/>
        <d v="2025-06-30T00:00:00"/>
        <d v="2025-06-01T00:00:00"/>
      </sharedItems>
      <fieldGroup par="10"/>
    </cacheField>
    <cacheField name="Target Date" numFmtId="164">
      <sharedItems containsSemiMixedTypes="0" containsNonDate="0" containsDate="1" containsString="0" minDate="2025-06-10T00:00:00" maxDate="2025-08-23T00:00:00" count="70">
        <d v="2025-07-30T00:00:00"/>
        <d v="2025-07-17T00:00:00"/>
        <d v="2025-08-02T00:00:00"/>
        <d v="2025-08-01T00:00:00"/>
        <d v="2025-06-25T00:00:00"/>
        <d v="2025-07-01T00:00:00"/>
        <d v="2025-07-22T00:00:00"/>
        <d v="2025-07-03T00:00:00"/>
        <d v="2025-07-23T00:00:00"/>
        <d v="2025-06-29T00:00:00"/>
        <d v="2025-08-06T00:00:00"/>
        <d v="2025-06-24T00:00:00"/>
        <d v="2025-08-13T00:00:00"/>
        <d v="2025-07-15T00:00:00"/>
        <d v="2025-07-27T00:00:00"/>
        <d v="2025-07-29T00:00:00"/>
        <d v="2025-07-28T00:00:00"/>
        <d v="2025-06-28T00:00:00"/>
        <d v="2025-07-14T00:00:00"/>
        <d v="2025-06-26T00:00:00"/>
        <d v="2025-06-14T00:00:00"/>
        <d v="2025-07-12T00:00:00"/>
        <d v="2025-07-11T00:00:00"/>
        <d v="2025-07-16T00:00:00"/>
        <d v="2025-08-04T00:00:00"/>
        <d v="2025-07-20T00:00:00"/>
        <d v="2025-08-09T00:00:00"/>
        <d v="2025-07-26T00:00:00"/>
        <d v="2025-08-03T00:00:00"/>
        <d v="2025-07-31T00:00:00"/>
        <d v="2025-06-22T00:00:00"/>
        <d v="2025-08-08T00:00:00"/>
        <d v="2025-06-11T00:00:00"/>
        <d v="2025-07-06T00:00:00"/>
        <d v="2025-07-08T00:00:00"/>
        <d v="2025-06-21T00:00:00"/>
        <d v="2025-07-19T00:00:00"/>
        <d v="2025-07-21T00:00:00"/>
        <d v="2025-06-13T00:00:00"/>
        <d v="2025-07-05T00:00:00"/>
        <d v="2025-06-23T00:00:00"/>
        <d v="2025-07-25T00:00:00"/>
        <d v="2025-08-19T00:00:00"/>
        <d v="2025-07-02T00:00:00"/>
        <d v="2025-07-07T00:00:00"/>
        <d v="2025-06-16T00:00:00"/>
        <d v="2025-08-05T00:00:00"/>
        <d v="2025-07-18T00:00:00"/>
        <d v="2025-07-09T00:00:00"/>
        <d v="2025-08-18T00:00:00"/>
        <d v="2025-08-15T00:00:00"/>
        <d v="2025-07-24T00:00:00"/>
        <d v="2025-07-13T00:00:00"/>
        <d v="2025-06-27T00:00:00"/>
        <d v="2025-06-20T00:00:00"/>
        <d v="2025-08-14T00:00:00"/>
        <d v="2025-07-04T00:00:00"/>
        <d v="2025-06-17T00:00:00"/>
        <d v="2025-06-19T00:00:00"/>
        <d v="2025-06-18T00:00:00"/>
        <d v="2025-06-30T00:00:00"/>
        <d v="2025-08-11T00:00:00"/>
        <d v="2025-07-10T00:00:00"/>
        <d v="2025-06-10T00:00:00"/>
        <d v="2025-08-10T00:00:00"/>
        <d v="2025-08-07T00:00:00"/>
        <d v="2025-06-12T00:00:00"/>
        <d v="2025-08-12T00:00:00"/>
        <d v="2025-08-22T00:00:00"/>
        <d v="2025-08-16T00:00:00"/>
      </sharedItems>
      <fieldGroup par="12"/>
    </cacheField>
    <cacheField name="Time Spent (hrs)" numFmtId="0">
      <sharedItems containsSemiMixedTypes="0" containsString="0" containsNumber="1" containsInteger="1" minValue="5" maxValue="60" count="56">
        <n v="15"/>
        <n v="26"/>
        <n v="23"/>
        <n v="44"/>
        <n v="28"/>
        <n v="12"/>
        <n v="10"/>
        <n v="54"/>
        <n v="49"/>
        <n v="52"/>
        <n v="17"/>
        <n v="29"/>
        <n v="16"/>
        <n v="45"/>
        <n v="46"/>
        <n v="37"/>
        <n v="38"/>
        <n v="14"/>
        <n v="51"/>
        <n v="58"/>
        <n v="57"/>
        <n v="42"/>
        <n v="13"/>
        <n v="7"/>
        <n v="19"/>
        <n v="43"/>
        <n v="39"/>
        <n v="48"/>
        <n v="22"/>
        <n v="47"/>
        <n v="8"/>
        <n v="11"/>
        <n v="34"/>
        <n v="25"/>
        <n v="53"/>
        <n v="41"/>
        <n v="36"/>
        <n v="21"/>
        <n v="35"/>
        <n v="30"/>
        <n v="24"/>
        <n v="31"/>
        <n v="9"/>
        <n v="5"/>
        <n v="33"/>
        <n v="32"/>
        <n v="55"/>
        <n v="50"/>
        <n v="40"/>
        <n v="20"/>
        <n v="59"/>
        <n v="18"/>
        <n v="27"/>
        <n v="56"/>
        <n v="60"/>
        <n v="6"/>
      </sharedItems>
    </cacheField>
    <cacheField name="Current Level (1-10)" numFmtId="0">
      <sharedItems containsSemiMixedTypes="0" containsString="0" containsNumber="1" containsInteger="1" minValue="1" maxValue="10"/>
    </cacheField>
    <cacheField name="Confidence %" numFmtId="2">
      <sharedItems containsSemiMixedTypes="0" containsString="0" containsNumber="1" minValue="0.1" maxValue="499.1" count="500">
        <n v="0.1"/>
        <n v="1.1000000000000001"/>
        <n v="2.1"/>
        <n v="3.1"/>
        <n v="4.0999999999999996"/>
        <n v="5.0999999999999996"/>
        <n v="6.1"/>
        <n v="7.1"/>
        <n v="8.1"/>
        <n v="9.1"/>
        <n v="10.1"/>
        <n v="11.1"/>
        <n v="12.1"/>
        <n v="13.1"/>
        <n v="14.1"/>
        <n v="15.1"/>
        <n v="16.100000000000001"/>
        <n v="17.100000000000001"/>
        <n v="18.100000000000001"/>
        <n v="19.100000000000001"/>
        <n v="20.100000000000001"/>
        <n v="21.1"/>
        <n v="22.1"/>
        <n v="23.1"/>
        <n v="24.1"/>
        <n v="25.1"/>
        <n v="26.1"/>
        <n v="27.1"/>
        <n v="28.1"/>
        <n v="29.1"/>
        <n v="30.1"/>
        <n v="31.1"/>
        <n v="32.1"/>
        <n v="33.1"/>
        <n v="34.1"/>
        <n v="35.1"/>
        <n v="36.1"/>
        <n v="37.1"/>
        <n v="38.1"/>
        <n v="39.1"/>
        <n v="40.1"/>
        <n v="41.1"/>
        <n v="42.1"/>
        <n v="43.1"/>
        <n v="44.1"/>
        <n v="45.1"/>
        <n v="46.1"/>
        <n v="47.1"/>
        <n v="48.1"/>
        <n v="49.1"/>
        <n v="50.1"/>
        <n v="51.1"/>
        <n v="52.1"/>
        <n v="53.1"/>
        <n v="54.1"/>
        <n v="55.1"/>
        <n v="56.1"/>
        <n v="57.1"/>
        <n v="58.1"/>
        <n v="59.1"/>
        <n v="60.1"/>
        <n v="61.1"/>
        <n v="62.1"/>
        <n v="63.1"/>
        <n v="64.099999999999994"/>
        <n v="65.099999999999994"/>
        <n v="66.099999999999994"/>
        <n v="67.099999999999994"/>
        <n v="68.099999999999994"/>
        <n v="69.099999999999994"/>
        <n v="70.099999999999994"/>
        <n v="71.099999999999994"/>
        <n v="72.099999999999994"/>
        <n v="73.099999999999994"/>
        <n v="74.099999999999994"/>
        <n v="75.099999999999994"/>
        <n v="76.099999999999994"/>
        <n v="77.099999999999994"/>
        <n v="78.099999999999994"/>
        <n v="79.099999999999994"/>
        <n v="80.099999999999994"/>
        <n v="81.099999999999994"/>
        <n v="82.1"/>
        <n v="83.1"/>
        <n v="84.1"/>
        <n v="85.1"/>
        <n v="86.1"/>
        <n v="87.1"/>
        <n v="88.1"/>
        <n v="89.1"/>
        <n v="90.1"/>
        <n v="91.1"/>
        <n v="92.1"/>
        <n v="93.1"/>
        <n v="94.1"/>
        <n v="95.1"/>
        <n v="96.1"/>
        <n v="97.1"/>
        <n v="98.1"/>
        <n v="99.1"/>
        <n v="100.1"/>
        <n v="101.1"/>
        <n v="102.1"/>
        <n v="103.1"/>
        <n v="104.1"/>
        <n v="105.1"/>
        <n v="106.1"/>
        <n v="107.1"/>
        <n v="108.1"/>
        <n v="109.1"/>
        <n v="110.1"/>
        <n v="111.1"/>
        <n v="112.1"/>
        <n v="113.1"/>
        <n v="114.1"/>
        <n v="115.1"/>
        <n v="116.1"/>
        <n v="117.1"/>
        <n v="118.1"/>
        <n v="119.1"/>
        <n v="120.1"/>
        <n v="121.1"/>
        <n v="122.1"/>
        <n v="123.1"/>
        <n v="124.1"/>
        <n v="125.1"/>
        <n v="126.1"/>
        <n v="127.1"/>
        <n v="128.1"/>
        <n v="129.1"/>
        <n v="130.1"/>
        <n v="131.1"/>
        <n v="132.1"/>
        <n v="133.1"/>
        <n v="134.1"/>
        <n v="135.1"/>
        <n v="136.1"/>
        <n v="137.1"/>
        <n v="138.1"/>
        <n v="139.1"/>
        <n v="140.1"/>
        <n v="141.1"/>
        <n v="142.1"/>
        <n v="143.1"/>
        <n v="144.1"/>
        <n v="145.1"/>
        <n v="146.1"/>
        <n v="147.1"/>
        <n v="148.1"/>
        <n v="149.1"/>
        <n v="150.1"/>
        <n v="151.1"/>
        <n v="152.1"/>
        <n v="153.1"/>
        <n v="154.1"/>
        <n v="155.1"/>
        <n v="156.1"/>
        <n v="157.1"/>
        <n v="158.1"/>
        <n v="159.1"/>
        <n v="160.1"/>
        <n v="161.1"/>
        <n v="162.1"/>
        <n v="163.1"/>
        <n v="164.1"/>
        <n v="165.1"/>
        <n v="166.1"/>
        <n v="167.1"/>
        <n v="168.1"/>
        <n v="169.1"/>
        <n v="170.1"/>
        <n v="171.1"/>
        <n v="172.1"/>
        <n v="173.1"/>
        <n v="174.1"/>
        <n v="175.1"/>
        <n v="176.1"/>
        <n v="177.1"/>
        <n v="178.1"/>
        <n v="179.1"/>
        <n v="180.1"/>
        <n v="181.1"/>
        <n v="182.1"/>
        <n v="183.1"/>
        <n v="184.1"/>
        <n v="185.1"/>
        <n v="186.1"/>
        <n v="187.1"/>
        <n v="188.1"/>
        <n v="189.1"/>
        <n v="190.1"/>
        <n v="191.1"/>
        <n v="192.1"/>
        <n v="193.1"/>
        <n v="194.1"/>
        <n v="195.1"/>
        <n v="196.1"/>
        <n v="197.1"/>
        <n v="198.1"/>
        <n v="199.1"/>
        <n v="200.1"/>
        <n v="201.1"/>
        <n v="202.1"/>
        <n v="203.1"/>
        <n v="204.1"/>
        <n v="205.1"/>
        <n v="206.1"/>
        <n v="207.1"/>
        <n v="208.1"/>
        <n v="209.1"/>
        <n v="210.1"/>
        <n v="211.1"/>
        <n v="212.1"/>
        <n v="213.1"/>
        <n v="214.1"/>
        <n v="215.1"/>
        <n v="216.1"/>
        <n v="217.1"/>
        <n v="218.1"/>
        <n v="219.1"/>
        <n v="220.1"/>
        <n v="221.1"/>
        <n v="222.1"/>
        <n v="223.1"/>
        <n v="224.1"/>
        <n v="225.1"/>
        <n v="226.1"/>
        <n v="227.1"/>
        <n v="228.1"/>
        <n v="229.1"/>
        <n v="230.1"/>
        <n v="231.1"/>
        <n v="232.1"/>
        <n v="233.1"/>
        <n v="234.1"/>
        <n v="235.1"/>
        <n v="236.1"/>
        <n v="237.1"/>
        <n v="238.1"/>
        <n v="239.1"/>
        <n v="240.1"/>
        <n v="241.1"/>
        <n v="242.1"/>
        <n v="243.1"/>
        <n v="244.1"/>
        <n v="245.1"/>
        <n v="246.1"/>
        <n v="247.1"/>
        <n v="248.1"/>
        <n v="249.1"/>
        <n v="250.1"/>
        <n v="251.1"/>
        <n v="252.1"/>
        <n v="253.1"/>
        <n v="254.1"/>
        <n v="255.1"/>
        <n v="256.10000000000002"/>
        <n v="257.10000000000002"/>
        <n v="258.10000000000002"/>
        <n v="259.10000000000002"/>
        <n v="260.10000000000002"/>
        <n v="261.10000000000002"/>
        <n v="262.10000000000002"/>
        <n v="263.10000000000002"/>
        <n v="264.10000000000002"/>
        <n v="265.10000000000002"/>
        <n v="266.10000000000002"/>
        <n v="267.10000000000002"/>
        <n v="268.10000000000002"/>
        <n v="269.10000000000002"/>
        <n v="270.10000000000002"/>
        <n v="271.10000000000002"/>
        <n v="272.10000000000002"/>
        <n v="273.10000000000002"/>
        <n v="274.10000000000002"/>
        <n v="275.10000000000002"/>
        <n v="276.10000000000002"/>
        <n v="277.10000000000002"/>
        <n v="278.10000000000002"/>
        <n v="279.10000000000002"/>
        <n v="280.10000000000002"/>
        <n v="281.10000000000002"/>
        <n v="282.10000000000002"/>
        <n v="283.10000000000002"/>
        <n v="284.10000000000002"/>
        <n v="285.10000000000002"/>
        <n v="286.10000000000002"/>
        <n v="287.10000000000002"/>
        <n v="288.10000000000002"/>
        <n v="289.10000000000002"/>
        <n v="290.10000000000002"/>
        <n v="291.10000000000002"/>
        <n v="292.10000000000002"/>
        <n v="293.10000000000002"/>
        <n v="294.10000000000002"/>
        <n v="295.10000000000002"/>
        <n v="296.10000000000002"/>
        <n v="297.10000000000002"/>
        <n v="298.10000000000002"/>
        <n v="299.10000000000002"/>
        <n v="300.10000000000002"/>
        <n v="301.10000000000002"/>
        <n v="302.10000000000002"/>
        <n v="303.10000000000002"/>
        <n v="304.10000000000002"/>
        <n v="305.10000000000002"/>
        <n v="306.10000000000002"/>
        <n v="307.10000000000002"/>
        <n v="308.10000000000002"/>
        <n v="309.10000000000002"/>
        <n v="310.10000000000002"/>
        <n v="311.10000000000002"/>
        <n v="312.10000000000002"/>
        <n v="313.10000000000002"/>
        <n v="314.10000000000002"/>
        <n v="315.10000000000002"/>
        <n v="316.10000000000002"/>
        <n v="317.10000000000002"/>
        <n v="318.10000000000002"/>
        <n v="319.10000000000002"/>
        <n v="320.10000000000002"/>
        <n v="321.10000000000002"/>
        <n v="322.10000000000002"/>
        <n v="323.10000000000002"/>
        <n v="324.10000000000002"/>
        <n v="325.10000000000002"/>
        <n v="326.10000000000002"/>
        <n v="327.10000000000002"/>
        <n v="328.1"/>
        <n v="329.1"/>
        <n v="330.1"/>
        <n v="331.1"/>
        <n v="332.1"/>
        <n v="333.1"/>
        <n v="334.1"/>
        <n v="335.1"/>
        <n v="336.1"/>
        <n v="337.1"/>
        <n v="338.1"/>
        <n v="339.1"/>
        <n v="340.1"/>
        <n v="341.1"/>
        <n v="342.1"/>
        <n v="343.1"/>
        <n v="344.1"/>
        <n v="345.1"/>
        <n v="346.1"/>
        <n v="347.1"/>
        <n v="348.1"/>
        <n v="349.1"/>
        <n v="350.1"/>
        <n v="351.1"/>
        <n v="352.1"/>
        <n v="353.1"/>
        <n v="354.1"/>
        <n v="355.1"/>
        <n v="356.1"/>
        <n v="357.1"/>
        <n v="358.1"/>
        <n v="359.1"/>
        <n v="360.1"/>
        <n v="361.1"/>
        <n v="362.1"/>
        <n v="363.1"/>
        <n v="364.1"/>
        <n v="365.1"/>
        <n v="366.1"/>
        <n v="367.1"/>
        <n v="368.1"/>
        <n v="369.1"/>
        <n v="370.1"/>
        <n v="371.1"/>
        <n v="372.1"/>
        <n v="373.1"/>
        <n v="374.1"/>
        <n v="375.1"/>
        <n v="376.1"/>
        <n v="377.1"/>
        <n v="378.1"/>
        <n v="379.1"/>
        <n v="380.1"/>
        <n v="381.1"/>
        <n v="382.1"/>
        <n v="383.1"/>
        <n v="384.1"/>
        <n v="385.1"/>
        <n v="386.1"/>
        <n v="387.1"/>
        <n v="388.1"/>
        <n v="389.1"/>
        <n v="390.1"/>
        <n v="391.1"/>
        <n v="392.1"/>
        <n v="393.1"/>
        <n v="394.1"/>
        <n v="395.1"/>
        <n v="396.1"/>
        <n v="397.1"/>
        <n v="398.1"/>
        <n v="399.1"/>
        <n v="400.1"/>
        <n v="401.1"/>
        <n v="402.1"/>
        <n v="403.1"/>
        <n v="404.1"/>
        <n v="405.1"/>
        <n v="406.1"/>
        <n v="407.1"/>
        <n v="408.1"/>
        <n v="409.1"/>
        <n v="410.1"/>
        <n v="411.1"/>
        <n v="412.1"/>
        <n v="413.1"/>
        <n v="414.1"/>
        <n v="415.1"/>
        <n v="416.1"/>
        <n v="417.1"/>
        <n v="418.1"/>
        <n v="419.1"/>
        <n v="420.1"/>
        <n v="421.1"/>
        <n v="422.1"/>
        <n v="423.1"/>
        <n v="424.1"/>
        <n v="425.1"/>
        <n v="426.1"/>
        <n v="427.1"/>
        <n v="428.1"/>
        <n v="429.1"/>
        <n v="430.1"/>
        <n v="431.1"/>
        <n v="432.1"/>
        <n v="433.1"/>
        <n v="434.1"/>
        <n v="435.1"/>
        <n v="436.1"/>
        <n v="437.1"/>
        <n v="438.1"/>
        <n v="439.1"/>
        <n v="440.1"/>
        <n v="441.1"/>
        <n v="442.1"/>
        <n v="443.1"/>
        <n v="444.1"/>
        <n v="445.1"/>
        <n v="446.1"/>
        <n v="447.1"/>
        <n v="448.1"/>
        <n v="449.1"/>
        <n v="450.1"/>
        <n v="451.1"/>
        <n v="452.1"/>
        <n v="453.1"/>
        <n v="454.1"/>
        <n v="455.1"/>
        <n v="456.1"/>
        <n v="457.1"/>
        <n v="458.1"/>
        <n v="459.1"/>
        <n v="460.1"/>
        <n v="461.1"/>
        <n v="462.1"/>
        <n v="463.1"/>
        <n v="464.1"/>
        <n v="465.1"/>
        <n v="466.1"/>
        <n v="467.1"/>
        <n v="468.1"/>
        <n v="469.1"/>
        <n v="470.1"/>
        <n v="471.1"/>
        <n v="472.1"/>
        <n v="473.1"/>
        <n v="474.1"/>
        <n v="475.1"/>
        <n v="476.1"/>
        <n v="477.1"/>
        <n v="478.1"/>
        <n v="479.1"/>
        <n v="480.1"/>
        <n v="481.1"/>
        <n v="482.1"/>
        <n v="483.1"/>
        <n v="484.1"/>
        <n v="485.1"/>
        <n v="486.1"/>
        <n v="487.1"/>
        <n v="488.1"/>
        <n v="489.1"/>
        <n v="490.1"/>
        <n v="491.1"/>
        <n v="492.1"/>
        <n v="493.1"/>
        <n v="494.1"/>
        <n v="495.1"/>
        <n v="496.1"/>
        <n v="497.1"/>
        <n v="498.1"/>
        <n v="499.1"/>
      </sharedItems>
    </cacheField>
    <cacheField name="Status" numFmtId="0">
      <sharedItems count="4">
        <s v="Started"/>
        <s v="Completed"/>
        <s v="In Progress"/>
        <s v="Not Started"/>
      </sharedItems>
    </cacheField>
    <cacheField name="Remarks" numFmtId="0">
      <sharedItems/>
    </cacheField>
    <cacheField name="Days (Start Date)" numFmtId="0" databaseField="0">
      <fieldGroup base="2">
        <rangePr groupBy="days" startDate="2025-05-25T00:00:00" endDate="2025-07-09T00:00:00"/>
        <groupItems count="368">
          <s v="&lt;25-05-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25"/>
        </groupItems>
      </fieldGroup>
    </cacheField>
    <cacheField name="Months (Start Date)" numFmtId="0" databaseField="0">
      <fieldGroup base="2">
        <rangePr groupBy="months" startDate="2025-05-25T00:00:00" endDate="2025-07-09T00:00:00"/>
        <groupItems count="14">
          <s v="&lt;25-05-2025"/>
          <s v="Jan"/>
          <s v="Feb"/>
          <s v="Mar"/>
          <s v="Apr"/>
          <s v="May"/>
          <s v="Jun"/>
          <s v="Jul"/>
          <s v="Aug"/>
          <s v="Sep"/>
          <s v="Oct"/>
          <s v="Nov"/>
          <s v="Dec"/>
          <s v="&gt;09-07-2025"/>
        </groupItems>
      </fieldGroup>
    </cacheField>
    <cacheField name="Days (Target Date)" numFmtId="0" databaseField="0">
      <fieldGroup base="3">
        <rangePr groupBy="days" startDate="2025-06-10T00:00:00" endDate="2025-08-23T00:00:00"/>
        <groupItems count="368">
          <s v="&lt;10-06-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8-2025"/>
        </groupItems>
      </fieldGroup>
    </cacheField>
    <cacheField name="Months (Target Date)" numFmtId="0" databaseField="0">
      <fieldGroup base="3">
        <rangePr groupBy="months" startDate="2025-06-10T00:00:00" endDate="2025-08-23T00:00:00"/>
        <groupItems count="14">
          <s v="&lt;10-06-2025"/>
          <s v="Jan"/>
          <s v="Feb"/>
          <s v="Mar"/>
          <s v="Apr"/>
          <s v="May"/>
          <s v="Jun"/>
          <s v="Jul"/>
          <s v="Aug"/>
          <s v="Sep"/>
          <s v="Oct"/>
          <s v="Nov"/>
          <s v="Dec"/>
          <s v="&gt;23-08-2025"/>
        </groupItems>
      </fieldGroup>
    </cacheField>
  </cacheFields>
  <extLst>
    <ext xmlns:x14="http://schemas.microsoft.com/office/spreadsheetml/2009/9/main" uri="{725AE2AE-9491-48be-B2B4-4EB974FC3084}">
      <x14:pivotCacheDefinition pivotCacheId="864071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n v="1"/>
    <x v="0"/>
    <x v="0"/>
    <s v="Need more practice"/>
  </r>
  <r>
    <n v="2"/>
    <x v="1"/>
    <x v="1"/>
    <x v="1"/>
    <x v="1"/>
    <n v="5"/>
    <x v="1"/>
    <x v="1"/>
    <s v="Struggling a bit"/>
  </r>
  <r>
    <n v="3"/>
    <x v="2"/>
    <x v="2"/>
    <x v="2"/>
    <x v="2"/>
    <n v="8"/>
    <x v="2"/>
    <x v="2"/>
    <s v="Struggling a bit"/>
  </r>
  <r>
    <n v="4"/>
    <x v="3"/>
    <x v="3"/>
    <x v="2"/>
    <x v="3"/>
    <n v="3"/>
    <x v="3"/>
    <x v="2"/>
    <s v="Struggling a bit"/>
  </r>
  <r>
    <n v="5"/>
    <x v="4"/>
    <x v="4"/>
    <x v="3"/>
    <x v="4"/>
    <n v="7"/>
    <x v="4"/>
    <x v="0"/>
    <s v="Starting soon"/>
  </r>
  <r>
    <n v="6"/>
    <x v="5"/>
    <x v="5"/>
    <x v="4"/>
    <x v="5"/>
    <n v="8"/>
    <x v="5"/>
    <x v="0"/>
    <s v="Improved a lot"/>
  </r>
  <r>
    <n v="7"/>
    <x v="6"/>
    <x v="6"/>
    <x v="5"/>
    <x v="6"/>
    <n v="3"/>
    <x v="6"/>
    <x v="0"/>
    <s v="Struggling a bit"/>
  </r>
  <r>
    <n v="8"/>
    <x v="7"/>
    <x v="7"/>
    <x v="6"/>
    <x v="7"/>
    <n v="3"/>
    <x v="7"/>
    <x v="0"/>
    <s v="Watching tutorials"/>
  </r>
  <r>
    <n v="9"/>
    <x v="0"/>
    <x v="8"/>
    <x v="7"/>
    <x v="5"/>
    <n v="10"/>
    <x v="8"/>
    <x v="2"/>
    <s v="Need more practice"/>
  </r>
  <r>
    <n v="10"/>
    <x v="1"/>
    <x v="9"/>
    <x v="8"/>
    <x v="8"/>
    <n v="10"/>
    <x v="9"/>
    <x v="3"/>
    <s v="Starting soon"/>
  </r>
  <r>
    <n v="11"/>
    <x v="1"/>
    <x v="10"/>
    <x v="9"/>
    <x v="9"/>
    <n v="10"/>
    <x v="10"/>
    <x v="3"/>
    <s v="Almost done"/>
  </r>
  <r>
    <n v="12"/>
    <x v="8"/>
    <x v="11"/>
    <x v="8"/>
    <x v="10"/>
    <n v="8"/>
    <x v="11"/>
    <x v="2"/>
    <s v="Watching tutorials"/>
  </r>
  <r>
    <n v="13"/>
    <x v="5"/>
    <x v="7"/>
    <x v="10"/>
    <x v="11"/>
    <n v="9"/>
    <x v="12"/>
    <x v="0"/>
    <s v="Need more practice"/>
  </r>
  <r>
    <n v="14"/>
    <x v="9"/>
    <x v="12"/>
    <x v="11"/>
    <x v="12"/>
    <n v="4"/>
    <x v="13"/>
    <x v="0"/>
    <s v="Almost done"/>
  </r>
  <r>
    <n v="15"/>
    <x v="10"/>
    <x v="13"/>
    <x v="12"/>
    <x v="13"/>
    <n v="4"/>
    <x v="14"/>
    <x v="2"/>
    <s v="Watching tutorials"/>
  </r>
  <r>
    <n v="16"/>
    <x v="11"/>
    <x v="12"/>
    <x v="6"/>
    <x v="0"/>
    <n v="1"/>
    <x v="15"/>
    <x v="3"/>
    <s v="Struggling a bit"/>
  </r>
  <r>
    <n v="17"/>
    <x v="9"/>
    <x v="4"/>
    <x v="6"/>
    <x v="14"/>
    <n v="6"/>
    <x v="16"/>
    <x v="0"/>
    <s v="Starting soon"/>
  </r>
  <r>
    <n v="18"/>
    <x v="12"/>
    <x v="14"/>
    <x v="13"/>
    <x v="15"/>
    <n v="4"/>
    <x v="17"/>
    <x v="3"/>
    <s v="Starting soon"/>
  </r>
  <r>
    <n v="19"/>
    <x v="12"/>
    <x v="15"/>
    <x v="14"/>
    <x v="9"/>
    <n v="3"/>
    <x v="18"/>
    <x v="3"/>
    <s v="Need more practice"/>
  </r>
  <r>
    <n v="20"/>
    <x v="3"/>
    <x v="16"/>
    <x v="15"/>
    <x v="16"/>
    <n v="9"/>
    <x v="19"/>
    <x v="1"/>
    <s v="Watching tutorials"/>
  </r>
  <r>
    <n v="21"/>
    <x v="12"/>
    <x v="17"/>
    <x v="16"/>
    <x v="17"/>
    <n v="6"/>
    <x v="20"/>
    <x v="3"/>
    <s v="Struggling a bit"/>
  </r>
  <r>
    <n v="22"/>
    <x v="7"/>
    <x v="1"/>
    <x v="12"/>
    <x v="18"/>
    <n v="5"/>
    <x v="21"/>
    <x v="0"/>
    <s v="Starting soon"/>
  </r>
  <r>
    <n v="23"/>
    <x v="13"/>
    <x v="16"/>
    <x v="14"/>
    <x v="19"/>
    <n v="4"/>
    <x v="22"/>
    <x v="3"/>
    <s v="Struggling a bit"/>
  </r>
  <r>
    <n v="24"/>
    <x v="7"/>
    <x v="18"/>
    <x v="17"/>
    <x v="20"/>
    <n v="2"/>
    <x v="23"/>
    <x v="2"/>
    <s v="Improved a lot"/>
  </r>
  <r>
    <n v="25"/>
    <x v="14"/>
    <x v="19"/>
    <x v="18"/>
    <x v="21"/>
    <n v="4"/>
    <x v="24"/>
    <x v="3"/>
    <s v="Starting soon"/>
  </r>
  <r>
    <n v="26"/>
    <x v="13"/>
    <x v="20"/>
    <x v="8"/>
    <x v="22"/>
    <n v="6"/>
    <x v="25"/>
    <x v="1"/>
    <s v="Watching tutorials"/>
  </r>
  <r>
    <n v="27"/>
    <x v="9"/>
    <x v="12"/>
    <x v="19"/>
    <x v="23"/>
    <n v="9"/>
    <x v="26"/>
    <x v="2"/>
    <s v="Struggling a bit"/>
  </r>
  <r>
    <n v="28"/>
    <x v="1"/>
    <x v="8"/>
    <x v="20"/>
    <x v="24"/>
    <n v="6"/>
    <x v="27"/>
    <x v="1"/>
    <s v="Watching tutorials"/>
  </r>
  <r>
    <n v="29"/>
    <x v="8"/>
    <x v="21"/>
    <x v="19"/>
    <x v="25"/>
    <n v="7"/>
    <x v="28"/>
    <x v="1"/>
    <s v="Watching tutorials"/>
  </r>
  <r>
    <n v="30"/>
    <x v="15"/>
    <x v="10"/>
    <x v="21"/>
    <x v="26"/>
    <n v="9"/>
    <x v="29"/>
    <x v="2"/>
    <s v="Almost done"/>
  </r>
  <r>
    <n v="31"/>
    <x v="3"/>
    <x v="22"/>
    <x v="11"/>
    <x v="27"/>
    <n v="6"/>
    <x v="30"/>
    <x v="0"/>
    <s v="Watching tutorials"/>
  </r>
  <r>
    <n v="32"/>
    <x v="13"/>
    <x v="2"/>
    <x v="22"/>
    <x v="28"/>
    <n v="1"/>
    <x v="31"/>
    <x v="1"/>
    <s v="Watching tutorials"/>
  </r>
  <r>
    <n v="33"/>
    <x v="3"/>
    <x v="23"/>
    <x v="5"/>
    <x v="29"/>
    <n v="5"/>
    <x v="32"/>
    <x v="3"/>
    <s v="Struggling a bit"/>
  </r>
  <r>
    <n v="34"/>
    <x v="11"/>
    <x v="18"/>
    <x v="23"/>
    <x v="30"/>
    <n v="10"/>
    <x v="33"/>
    <x v="0"/>
    <s v="Improved a lot"/>
  </r>
  <r>
    <n v="35"/>
    <x v="15"/>
    <x v="23"/>
    <x v="21"/>
    <x v="31"/>
    <n v="2"/>
    <x v="34"/>
    <x v="3"/>
    <s v="Doing daily"/>
  </r>
  <r>
    <n v="36"/>
    <x v="6"/>
    <x v="24"/>
    <x v="24"/>
    <x v="30"/>
    <n v="9"/>
    <x v="35"/>
    <x v="3"/>
    <s v="Struggling a bit"/>
  </r>
  <r>
    <n v="37"/>
    <x v="11"/>
    <x v="25"/>
    <x v="18"/>
    <x v="32"/>
    <n v="10"/>
    <x v="36"/>
    <x v="1"/>
    <s v="Improved a lot"/>
  </r>
  <r>
    <n v="38"/>
    <x v="6"/>
    <x v="26"/>
    <x v="21"/>
    <x v="12"/>
    <n v="2"/>
    <x v="37"/>
    <x v="2"/>
    <s v="Starting soon"/>
  </r>
  <r>
    <n v="39"/>
    <x v="4"/>
    <x v="27"/>
    <x v="25"/>
    <x v="15"/>
    <n v="6"/>
    <x v="38"/>
    <x v="0"/>
    <s v="Struggling a bit"/>
  </r>
  <r>
    <n v="40"/>
    <x v="5"/>
    <x v="16"/>
    <x v="26"/>
    <x v="33"/>
    <n v="2"/>
    <x v="39"/>
    <x v="0"/>
    <s v="Almost done"/>
  </r>
  <r>
    <n v="41"/>
    <x v="9"/>
    <x v="15"/>
    <x v="21"/>
    <x v="34"/>
    <n v="8"/>
    <x v="40"/>
    <x v="3"/>
    <s v="Struggling a bit"/>
  </r>
  <r>
    <n v="42"/>
    <x v="9"/>
    <x v="2"/>
    <x v="2"/>
    <x v="3"/>
    <n v="4"/>
    <x v="41"/>
    <x v="1"/>
    <s v="Struggling a bit"/>
  </r>
  <r>
    <n v="43"/>
    <x v="7"/>
    <x v="7"/>
    <x v="27"/>
    <x v="35"/>
    <n v="5"/>
    <x v="42"/>
    <x v="1"/>
    <s v="Doing daily"/>
  </r>
  <r>
    <n v="44"/>
    <x v="12"/>
    <x v="19"/>
    <x v="27"/>
    <x v="36"/>
    <n v="1"/>
    <x v="43"/>
    <x v="1"/>
    <s v="Starting soon"/>
  </r>
  <r>
    <n v="45"/>
    <x v="11"/>
    <x v="28"/>
    <x v="21"/>
    <x v="37"/>
    <n v="7"/>
    <x v="44"/>
    <x v="1"/>
    <s v="Starting soon"/>
  </r>
  <r>
    <n v="46"/>
    <x v="16"/>
    <x v="29"/>
    <x v="9"/>
    <x v="24"/>
    <n v="3"/>
    <x v="45"/>
    <x v="3"/>
    <s v="Almost done"/>
  </r>
  <r>
    <n v="47"/>
    <x v="7"/>
    <x v="16"/>
    <x v="26"/>
    <x v="27"/>
    <n v="3"/>
    <x v="46"/>
    <x v="0"/>
    <s v="Doing daily"/>
  </r>
  <r>
    <n v="48"/>
    <x v="17"/>
    <x v="16"/>
    <x v="28"/>
    <x v="6"/>
    <n v="4"/>
    <x v="47"/>
    <x v="2"/>
    <s v="Struggling a bit"/>
  </r>
  <r>
    <n v="49"/>
    <x v="3"/>
    <x v="24"/>
    <x v="29"/>
    <x v="22"/>
    <n v="9"/>
    <x v="48"/>
    <x v="0"/>
    <s v="Doing daily"/>
  </r>
  <r>
    <n v="50"/>
    <x v="6"/>
    <x v="5"/>
    <x v="30"/>
    <x v="33"/>
    <n v="8"/>
    <x v="49"/>
    <x v="0"/>
    <s v="Starting soon"/>
  </r>
  <r>
    <n v="51"/>
    <x v="15"/>
    <x v="13"/>
    <x v="31"/>
    <x v="14"/>
    <n v="9"/>
    <x v="50"/>
    <x v="1"/>
    <s v="Struggling a bit"/>
  </r>
  <r>
    <n v="52"/>
    <x v="13"/>
    <x v="20"/>
    <x v="6"/>
    <x v="28"/>
    <n v="8"/>
    <x v="51"/>
    <x v="3"/>
    <s v="Watching tutorials"/>
  </r>
  <r>
    <n v="53"/>
    <x v="5"/>
    <x v="21"/>
    <x v="32"/>
    <x v="38"/>
    <n v="7"/>
    <x v="52"/>
    <x v="1"/>
    <s v="Almost done"/>
  </r>
  <r>
    <n v="54"/>
    <x v="5"/>
    <x v="30"/>
    <x v="6"/>
    <x v="18"/>
    <n v="7"/>
    <x v="53"/>
    <x v="0"/>
    <s v="Struggling a bit"/>
  </r>
  <r>
    <n v="55"/>
    <x v="9"/>
    <x v="21"/>
    <x v="33"/>
    <x v="39"/>
    <n v="3"/>
    <x v="54"/>
    <x v="1"/>
    <s v="Improved a lot"/>
  </r>
  <r>
    <n v="56"/>
    <x v="10"/>
    <x v="4"/>
    <x v="14"/>
    <x v="3"/>
    <n v="5"/>
    <x v="55"/>
    <x v="1"/>
    <s v="Starting soon"/>
  </r>
  <r>
    <n v="57"/>
    <x v="17"/>
    <x v="6"/>
    <x v="17"/>
    <x v="40"/>
    <n v="5"/>
    <x v="56"/>
    <x v="0"/>
    <s v="Starting soon"/>
  </r>
  <r>
    <n v="58"/>
    <x v="9"/>
    <x v="31"/>
    <x v="34"/>
    <x v="12"/>
    <n v="7"/>
    <x v="57"/>
    <x v="3"/>
    <s v="Almost done"/>
  </r>
  <r>
    <n v="59"/>
    <x v="10"/>
    <x v="32"/>
    <x v="35"/>
    <x v="4"/>
    <n v="10"/>
    <x v="58"/>
    <x v="0"/>
    <s v="Starting soon"/>
  </r>
  <r>
    <n v="60"/>
    <x v="8"/>
    <x v="14"/>
    <x v="36"/>
    <x v="3"/>
    <n v="7"/>
    <x v="59"/>
    <x v="0"/>
    <s v="Starting soon"/>
  </r>
  <r>
    <n v="61"/>
    <x v="8"/>
    <x v="33"/>
    <x v="37"/>
    <x v="41"/>
    <n v="9"/>
    <x v="60"/>
    <x v="1"/>
    <s v="Need more practice"/>
  </r>
  <r>
    <n v="62"/>
    <x v="8"/>
    <x v="34"/>
    <x v="1"/>
    <x v="39"/>
    <n v="3"/>
    <x v="61"/>
    <x v="2"/>
    <s v="Doing daily"/>
  </r>
  <r>
    <n v="63"/>
    <x v="12"/>
    <x v="10"/>
    <x v="38"/>
    <x v="21"/>
    <n v="7"/>
    <x v="62"/>
    <x v="0"/>
    <s v="Watching tutorials"/>
  </r>
  <r>
    <n v="64"/>
    <x v="0"/>
    <x v="27"/>
    <x v="39"/>
    <x v="42"/>
    <n v="4"/>
    <x v="63"/>
    <x v="2"/>
    <s v="Need more practice"/>
  </r>
  <r>
    <n v="65"/>
    <x v="5"/>
    <x v="18"/>
    <x v="30"/>
    <x v="43"/>
    <n v="8"/>
    <x v="64"/>
    <x v="1"/>
    <s v="Almost done"/>
  </r>
  <r>
    <n v="66"/>
    <x v="6"/>
    <x v="1"/>
    <x v="12"/>
    <x v="18"/>
    <n v="9"/>
    <x v="65"/>
    <x v="3"/>
    <s v="Watching tutorials"/>
  </r>
  <r>
    <n v="67"/>
    <x v="16"/>
    <x v="35"/>
    <x v="37"/>
    <x v="25"/>
    <n v="9"/>
    <x v="66"/>
    <x v="0"/>
    <s v="Almost done"/>
  </r>
  <r>
    <n v="68"/>
    <x v="9"/>
    <x v="18"/>
    <x v="40"/>
    <x v="39"/>
    <n v="3"/>
    <x v="67"/>
    <x v="0"/>
    <s v="Need more practice"/>
  </r>
  <r>
    <n v="69"/>
    <x v="16"/>
    <x v="31"/>
    <x v="34"/>
    <x v="30"/>
    <n v="2"/>
    <x v="68"/>
    <x v="1"/>
    <s v="Watching tutorials"/>
  </r>
  <r>
    <n v="70"/>
    <x v="0"/>
    <x v="5"/>
    <x v="35"/>
    <x v="44"/>
    <n v="1"/>
    <x v="69"/>
    <x v="0"/>
    <s v="Doing daily"/>
  </r>
  <r>
    <n v="71"/>
    <x v="0"/>
    <x v="32"/>
    <x v="11"/>
    <x v="0"/>
    <n v="10"/>
    <x v="70"/>
    <x v="2"/>
    <s v="Struggling a bit"/>
  </r>
  <r>
    <n v="72"/>
    <x v="5"/>
    <x v="27"/>
    <x v="41"/>
    <x v="26"/>
    <n v="1"/>
    <x v="71"/>
    <x v="3"/>
    <s v="Starting soon"/>
  </r>
  <r>
    <n v="73"/>
    <x v="8"/>
    <x v="3"/>
    <x v="42"/>
    <x v="45"/>
    <n v="2"/>
    <x v="72"/>
    <x v="0"/>
    <s v="Almost done"/>
  </r>
  <r>
    <n v="74"/>
    <x v="10"/>
    <x v="10"/>
    <x v="39"/>
    <x v="46"/>
    <n v="6"/>
    <x v="73"/>
    <x v="2"/>
    <s v="Struggling a bit"/>
  </r>
  <r>
    <n v="75"/>
    <x v="10"/>
    <x v="29"/>
    <x v="43"/>
    <x v="16"/>
    <n v="4"/>
    <x v="74"/>
    <x v="1"/>
    <s v="Need more practice"/>
  </r>
  <r>
    <n v="76"/>
    <x v="13"/>
    <x v="28"/>
    <x v="0"/>
    <x v="2"/>
    <n v="9"/>
    <x v="75"/>
    <x v="0"/>
    <s v="Doing daily"/>
  </r>
  <r>
    <n v="77"/>
    <x v="10"/>
    <x v="32"/>
    <x v="44"/>
    <x v="27"/>
    <n v="2"/>
    <x v="76"/>
    <x v="2"/>
    <s v="Need more practice"/>
  </r>
  <r>
    <n v="78"/>
    <x v="0"/>
    <x v="0"/>
    <x v="23"/>
    <x v="47"/>
    <n v="4"/>
    <x v="77"/>
    <x v="0"/>
    <s v="Starting soon"/>
  </r>
  <r>
    <n v="79"/>
    <x v="14"/>
    <x v="36"/>
    <x v="10"/>
    <x v="35"/>
    <n v="2"/>
    <x v="78"/>
    <x v="3"/>
    <s v="Improved a lot"/>
  </r>
  <r>
    <n v="80"/>
    <x v="6"/>
    <x v="26"/>
    <x v="15"/>
    <x v="42"/>
    <n v="5"/>
    <x v="79"/>
    <x v="2"/>
    <s v="Doing daily"/>
  </r>
  <r>
    <n v="81"/>
    <x v="14"/>
    <x v="7"/>
    <x v="16"/>
    <x v="29"/>
    <n v="5"/>
    <x v="80"/>
    <x v="1"/>
    <s v="Watching tutorials"/>
  </r>
  <r>
    <n v="82"/>
    <x v="3"/>
    <x v="26"/>
    <x v="29"/>
    <x v="35"/>
    <n v="8"/>
    <x v="81"/>
    <x v="3"/>
    <s v="Need more practice"/>
  </r>
  <r>
    <n v="83"/>
    <x v="14"/>
    <x v="37"/>
    <x v="45"/>
    <x v="32"/>
    <n v="5"/>
    <x v="82"/>
    <x v="1"/>
    <s v="Need more practice"/>
  </r>
  <r>
    <n v="84"/>
    <x v="14"/>
    <x v="29"/>
    <x v="9"/>
    <x v="39"/>
    <n v="10"/>
    <x v="83"/>
    <x v="1"/>
    <s v="Doing daily"/>
  </r>
  <r>
    <n v="85"/>
    <x v="17"/>
    <x v="34"/>
    <x v="4"/>
    <x v="47"/>
    <n v="6"/>
    <x v="84"/>
    <x v="3"/>
    <s v="Almost done"/>
  </r>
  <r>
    <n v="86"/>
    <x v="6"/>
    <x v="5"/>
    <x v="44"/>
    <x v="42"/>
    <n v="1"/>
    <x v="85"/>
    <x v="3"/>
    <s v="Starting soon"/>
  </r>
  <r>
    <n v="87"/>
    <x v="15"/>
    <x v="7"/>
    <x v="13"/>
    <x v="5"/>
    <n v="7"/>
    <x v="86"/>
    <x v="3"/>
    <s v="Doing daily"/>
  </r>
  <r>
    <n v="88"/>
    <x v="1"/>
    <x v="0"/>
    <x v="16"/>
    <x v="33"/>
    <n v="10"/>
    <x v="87"/>
    <x v="0"/>
    <s v="Watching tutorials"/>
  </r>
  <r>
    <n v="89"/>
    <x v="10"/>
    <x v="29"/>
    <x v="11"/>
    <x v="4"/>
    <n v="7"/>
    <x v="88"/>
    <x v="2"/>
    <s v="Improved a lot"/>
  </r>
  <r>
    <n v="90"/>
    <x v="3"/>
    <x v="27"/>
    <x v="33"/>
    <x v="27"/>
    <n v="2"/>
    <x v="89"/>
    <x v="2"/>
    <s v="Starting soon"/>
  </r>
  <r>
    <n v="91"/>
    <x v="9"/>
    <x v="37"/>
    <x v="11"/>
    <x v="46"/>
    <n v="7"/>
    <x v="90"/>
    <x v="2"/>
    <s v="Need more practice"/>
  </r>
  <r>
    <n v="92"/>
    <x v="6"/>
    <x v="23"/>
    <x v="14"/>
    <x v="5"/>
    <n v="3"/>
    <x v="91"/>
    <x v="3"/>
    <s v="Improved a lot"/>
  </r>
  <r>
    <n v="93"/>
    <x v="5"/>
    <x v="1"/>
    <x v="0"/>
    <x v="48"/>
    <n v="1"/>
    <x v="92"/>
    <x v="1"/>
    <s v="Need more practice"/>
  </r>
  <r>
    <n v="94"/>
    <x v="14"/>
    <x v="32"/>
    <x v="35"/>
    <x v="35"/>
    <n v="1"/>
    <x v="93"/>
    <x v="1"/>
    <s v="Watching tutorials"/>
  </r>
  <r>
    <n v="95"/>
    <x v="17"/>
    <x v="16"/>
    <x v="46"/>
    <x v="38"/>
    <n v="4"/>
    <x v="94"/>
    <x v="1"/>
    <s v="Doing daily"/>
  </r>
  <r>
    <n v="96"/>
    <x v="14"/>
    <x v="23"/>
    <x v="47"/>
    <x v="5"/>
    <n v="2"/>
    <x v="95"/>
    <x v="3"/>
    <s v="Improved a lot"/>
  </r>
  <r>
    <n v="97"/>
    <x v="13"/>
    <x v="17"/>
    <x v="2"/>
    <x v="49"/>
    <n v="3"/>
    <x v="96"/>
    <x v="2"/>
    <s v="Almost done"/>
  </r>
  <r>
    <n v="98"/>
    <x v="4"/>
    <x v="9"/>
    <x v="15"/>
    <x v="23"/>
    <n v="7"/>
    <x v="97"/>
    <x v="0"/>
    <s v="Improved a lot"/>
  </r>
  <r>
    <n v="99"/>
    <x v="5"/>
    <x v="21"/>
    <x v="4"/>
    <x v="31"/>
    <n v="7"/>
    <x v="98"/>
    <x v="1"/>
    <s v="Starting soon"/>
  </r>
  <r>
    <n v="100"/>
    <x v="4"/>
    <x v="9"/>
    <x v="12"/>
    <x v="38"/>
    <n v="6"/>
    <x v="99"/>
    <x v="2"/>
    <s v="Improved a lot"/>
  </r>
  <r>
    <n v="101"/>
    <x v="16"/>
    <x v="35"/>
    <x v="48"/>
    <x v="28"/>
    <n v="4"/>
    <x v="100"/>
    <x v="1"/>
    <s v="Struggling a bit"/>
  </r>
  <r>
    <n v="102"/>
    <x v="2"/>
    <x v="7"/>
    <x v="6"/>
    <x v="23"/>
    <n v="1"/>
    <x v="101"/>
    <x v="0"/>
    <s v="Improved a lot"/>
  </r>
  <r>
    <n v="103"/>
    <x v="10"/>
    <x v="36"/>
    <x v="10"/>
    <x v="8"/>
    <n v="6"/>
    <x v="102"/>
    <x v="1"/>
    <s v="Struggling a bit"/>
  </r>
  <r>
    <n v="104"/>
    <x v="9"/>
    <x v="3"/>
    <x v="49"/>
    <x v="33"/>
    <n v="3"/>
    <x v="103"/>
    <x v="2"/>
    <s v="Watching tutorials"/>
  </r>
  <r>
    <n v="105"/>
    <x v="3"/>
    <x v="38"/>
    <x v="50"/>
    <x v="28"/>
    <n v="8"/>
    <x v="104"/>
    <x v="3"/>
    <s v="Doing daily"/>
  </r>
  <r>
    <n v="106"/>
    <x v="6"/>
    <x v="26"/>
    <x v="3"/>
    <x v="29"/>
    <n v="2"/>
    <x v="105"/>
    <x v="3"/>
    <s v="Struggling a bit"/>
  </r>
  <r>
    <n v="107"/>
    <x v="3"/>
    <x v="0"/>
    <x v="28"/>
    <x v="48"/>
    <n v="10"/>
    <x v="106"/>
    <x v="0"/>
    <s v="Watching tutorials"/>
  </r>
  <r>
    <n v="108"/>
    <x v="0"/>
    <x v="13"/>
    <x v="51"/>
    <x v="19"/>
    <n v="10"/>
    <x v="107"/>
    <x v="2"/>
    <s v="Watching tutorials"/>
  </r>
  <r>
    <n v="109"/>
    <x v="14"/>
    <x v="39"/>
    <x v="48"/>
    <x v="17"/>
    <n v="4"/>
    <x v="108"/>
    <x v="2"/>
    <s v="Struggling a bit"/>
  </r>
  <r>
    <n v="110"/>
    <x v="9"/>
    <x v="20"/>
    <x v="52"/>
    <x v="34"/>
    <n v="3"/>
    <x v="109"/>
    <x v="3"/>
    <s v="Improved a lot"/>
  </r>
  <r>
    <n v="111"/>
    <x v="17"/>
    <x v="40"/>
    <x v="51"/>
    <x v="29"/>
    <n v="10"/>
    <x v="110"/>
    <x v="0"/>
    <s v="Doing daily"/>
  </r>
  <r>
    <n v="112"/>
    <x v="17"/>
    <x v="29"/>
    <x v="47"/>
    <x v="41"/>
    <n v="3"/>
    <x v="111"/>
    <x v="2"/>
    <s v="Almost done"/>
  </r>
  <r>
    <n v="113"/>
    <x v="8"/>
    <x v="39"/>
    <x v="53"/>
    <x v="6"/>
    <n v="3"/>
    <x v="112"/>
    <x v="2"/>
    <s v="Starting soon"/>
  </r>
  <r>
    <n v="114"/>
    <x v="3"/>
    <x v="12"/>
    <x v="34"/>
    <x v="44"/>
    <n v="5"/>
    <x v="113"/>
    <x v="0"/>
    <s v="Need more practice"/>
  </r>
  <r>
    <n v="115"/>
    <x v="9"/>
    <x v="28"/>
    <x v="7"/>
    <x v="50"/>
    <n v="1"/>
    <x v="114"/>
    <x v="1"/>
    <s v="Struggling a bit"/>
  </r>
  <r>
    <n v="116"/>
    <x v="7"/>
    <x v="37"/>
    <x v="54"/>
    <x v="35"/>
    <n v="3"/>
    <x v="115"/>
    <x v="2"/>
    <s v="Almost done"/>
  </r>
  <r>
    <n v="117"/>
    <x v="11"/>
    <x v="37"/>
    <x v="9"/>
    <x v="40"/>
    <n v="6"/>
    <x v="116"/>
    <x v="0"/>
    <s v="Almost done"/>
  </r>
  <r>
    <n v="118"/>
    <x v="13"/>
    <x v="14"/>
    <x v="51"/>
    <x v="36"/>
    <n v="5"/>
    <x v="117"/>
    <x v="0"/>
    <s v="Struggling a bit"/>
  </r>
  <r>
    <n v="119"/>
    <x v="8"/>
    <x v="35"/>
    <x v="46"/>
    <x v="21"/>
    <n v="10"/>
    <x v="118"/>
    <x v="1"/>
    <s v="Almost done"/>
  </r>
  <r>
    <n v="120"/>
    <x v="15"/>
    <x v="22"/>
    <x v="5"/>
    <x v="51"/>
    <n v="7"/>
    <x v="119"/>
    <x v="0"/>
    <s v="Struggling a bit"/>
  </r>
  <r>
    <n v="121"/>
    <x v="13"/>
    <x v="16"/>
    <x v="49"/>
    <x v="48"/>
    <n v="4"/>
    <x v="120"/>
    <x v="3"/>
    <s v="Doing daily"/>
  </r>
  <r>
    <n v="122"/>
    <x v="2"/>
    <x v="32"/>
    <x v="9"/>
    <x v="33"/>
    <n v="3"/>
    <x v="121"/>
    <x v="1"/>
    <s v="Almost done"/>
  </r>
  <r>
    <n v="123"/>
    <x v="11"/>
    <x v="10"/>
    <x v="53"/>
    <x v="6"/>
    <n v="3"/>
    <x v="122"/>
    <x v="1"/>
    <s v="Starting soon"/>
  </r>
  <r>
    <n v="124"/>
    <x v="12"/>
    <x v="40"/>
    <x v="16"/>
    <x v="24"/>
    <n v="2"/>
    <x v="123"/>
    <x v="2"/>
    <s v="Starting soon"/>
  </r>
  <r>
    <n v="125"/>
    <x v="13"/>
    <x v="35"/>
    <x v="41"/>
    <x v="14"/>
    <n v="8"/>
    <x v="124"/>
    <x v="2"/>
    <s v="Need more practice"/>
  </r>
  <r>
    <n v="126"/>
    <x v="10"/>
    <x v="33"/>
    <x v="55"/>
    <x v="13"/>
    <n v="5"/>
    <x v="125"/>
    <x v="0"/>
    <s v="Doing daily"/>
  </r>
  <r>
    <n v="127"/>
    <x v="7"/>
    <x v="29"/>
    <x v="25"/>
    <x v="14"/>
    <n v="5"/>
    <x v="126"/>
    <x v="1"/>
    <s v="Struggling a bit"/>
  </r>
  <r>
    <n v="128"/>
    <x v="8"/>
    <x v="2"/>
    <x v="15"/>
    <x v="36"/>
    <n v="8"/>
    <x v="127"/>
    <x v="3"/>
    <s v="Almost done"/>
  </r>
  <r>
    <n v="129"/>
    <x v="5"/>
    <x v="32"/>
    <x v="30"/>
    <x v="9"/>
    <n v="3"/>
    <x v="128"/>
    <x v="1"/>
    <s v="Improved a lot"/>
  </r>
  <r>
    <n v="130"/>
    <x v="7"/>
    <x v="2"/>
    <x v="24"/>
    <x v="45"/>
    <n v="2"/>
    <x v="129"/>
    <x v="3"/>
    <s v="Need more practice"/>
  </r>
  <r>
    <n v="131"/>
    <x v="10"/>
    <x v="41"/>
    <x v="56"/>
    <x v="2"/>
    <n v="6"/>
    <x v="130"/>
    <x v="0"/>
    <s v="Doing daily"/>
  </r>
  <r>
    <n v="132"/>
    <x v="17"/>
    <x v="4"/>
    <x v="15"/>
    <x v="9"/>
    <n v="2"/>
    <x v="131"/>
    <x v="1"/>
    <s v="Almost done"/>
  </r>
  <r>
    <n v="133"/>
    <x v="12"/>
    <x v="4"/>
    <x v="13"/>
    <x v="24"/>
    <n v="2"/>
    <x v="132"/>
    <x v="3"/>
    <s v="Struggling a bit"/>
  </r>
  <r>
    <n v="134"/>
    <x v="8"/>
    <x v="33"/>
    <x v="8"/>
    <x v="43"/>
    <n v="4"/>
    <x v="133"/>
    <x v="3"/>
    <s v="Improved a lot"/>
  </r>
  <r>
    <n v="135"/>
    <x v="13"/>
    <x v="18"/>
    <x v="33"/>
    <x v="24"/>
    <n v="3"/>
    <x v="134"/>
    <x v="1"/>
    <s v="Need more practice"/>
  </r>
  <r>
    <n v="136"/>
    <x v="9"/>
    <x v="7"/>
    <x v="24"/>
    <x v="43"/>
    <n v="5"/>
    <x v="135"/>
    <x v="0"/>
    <s v="Struggling a bit"/>
  </r>
  <r>
    <n v="137"/>
    <x v="15"/>
    <x v="6"/>
    <x v="53"/>
    <x v="52"/>
    <n v="2"/>
    <x v="136"/>
    <x v="1"/>
    <s v="Struggling a bit"/>
  </r>
  <r>
    <n v="138"/>
    <x v="15"/>
    <x v="9"/>
    <x v="28"/>
    <x v="47"/>
    <n v="1"/>
    <x v="137"/>
    <x v="1"/>
    <s v="Struggling a bit"/>
  </r>
  <r>
    <n v="139"/>
    <x v="0"/>
    <x v="22"/>
    <x v="52"/>
    <x v="17"/>
    <n v="8"/>
    <x v="138"/>
    <x v="3"/>
    <s v="Starting soon"/>
  </r>
  <r>
    <n v="140"/>
    <x v="17"/>
    <x v="12"/>
    <x v="23"/>
    <x v="4"/>
    <n v="5"/>
    <x v="139"/>
    <x v="2"/>
    <s v="Need more practice"/>
  </r>
  <r>
    <n v="141"/>
    <x v="4"/>
    <x v="7"/>
    <x v="31"/>
    <x v="47"/>
    <n v="7"/>
    <x v="140"/>
    <x v="2"/>
    <s v="Struggling a bit"/>
  </r>
  <r>
    <n v="142"/>
    <x v="17"/>
    <x v="3"/>
    <x v="28"/>
    <x v="26"/>
    <n v="5"/>
    <x v="141"/>
    <x v="0"/>
    <s v="Watching tutorials"/>
  </r>
  <r>
    <n v="143"/>
    <x v="6"/>
    <x v="8"/>
    <x v="57"/>
    <x v="15"/>
    <n v="7"/>
    <x v="142"/>
    <x v="1"/>
    <s v="Almost done"/>
  </r>
  <r>
    <n v="144"/>
    <x v="5"/>
    <x v="3"/>
    <x v="26"/>
    <x v="53"/>
    <n v="9"/>
    <x v="143"/>
    <x v="3"/>
    <s v="Starting soon"/>
  </r>
  <r>
    <n v="145"/>
    <x v="8"/>
    <x v="21"/>
    <x v="38"/>
    <x v="2"/>
    <n v="10"/>
    <x v="144"/>
    <x v="1"/>
    <s v="Struggling a bit"/>
  </r>
  <r>
    <n v="146"/>
    <x v="15"/>
    <x v="14"/>
    <x v="6"/>
    <x v="38"/>
    <n v="9"/>
    <x v="145"/>
    <x v="0"/>
    <s v="Almost done"/>
  </r>
  <r>
    <n v="147"/>
    <x v="7"/>
    <x v="22"/>
    <x v="43"/>
    <x v="36"/>
    <n v="6"/>
    <x v="146"/>
    <x v="2"/>
    <s v="Doing daily"/>
  </r>
  <r>
    <n v="148"/>
    <x v="7"/>
    <x v="42"/>
    <x v="51"/>
    <x v="49"/>
    <n v="4"/>
    <x v="147"/>
    <x v="2"/>
    <s v="Almost done"/>
  </r>
  <r>
    <n v="149"/>
    <x v="1"/>
    <x v="28"/>
    <x v="27"/>
    <x v="30"/>
    <n v="8"/>
    <x v="148"/>
    <x v="3"/>
    <s v="Watching tutorials"/>
  </r>
  <r>
    <n v="150"/>
    <x v="15"/>
    <x v="38"/>
    <x v="55"/>
    <x v="35"/>
    <n v="7"/>
    <x v="149"/>
    <x v="2"/>
    <s v="Almost done"/>
  </r>
  <r>
    <n v="151"/>
    <x v="16"/>
    <x v="32"/>
    <x v="11"/>
    <x v="49"/>
    <n v="10"/>
    <x v="150"/>
    <x v="1"/>
    <s v="Watching tutorials"/>
  </r>
  <r>
    <n v="152"/>
    <x v="13"/>
    <x v="6"/>
    <x v="44"/>
    <x v="27"/>
    <n v="1"/>
    <x v="151"/>
    <x v="3"/>
    <s v="Doing daily"/>
  </r>
  <r>
    <n v="153"/>
    <x v="7"/>
    <x v="37"/>
    <x v="9"/>
    <x v="17"/>
    <n v="1"/>
    <x v="152"/>
    <x v="2"/>
    <s v="Starting soon"/>
  </r>
  <r>
    <n v="154"/>
    <x v="0"/>
    <x v="7"/>
    <x v="41"/>
    <x v="0"/>
    <n v="5"/>
    <x v="153"/>
    <x v="1"/>
    <s v="Starting soon"/>
  </r>
  <r>
    <n v="155"/>
    <x v="5"/>
    <x v="43"/>
    <x v="41"/>
    <x v="24"/>
    <n v="3"/>
    <x v="154"/>
    <x v="0"/>
    <s v="Almost done"/>
  </r>
  <r>
    <n v="156"/>
    <x v="13"/>
    <x v="44"/>
    <x v="58"/>
    <x v="30"/>
    <n v="5"/>
    <x v="155"/>
    <x v="3"/>
    <s v="Doing daily"/>
  </r>
  <r>
    <n v="157"/>
    <x v="14"/>
    <x v="32"/>
    <x v="59"/>
    <x v="51"/>
    <n v="3"/>
    <x v="156"/>
    <x v="1"/>
    <s v="Struggling a bit"/>
  </r>
  <r>
    <n v="158"/>
    <x v="3"/>
    <x v="3"/>
    <x v="16"/>
    <x v="22"/>
    <n v="2"/>
    <x v="157"/>
    <x v="3"/>
    <s v="Need more practice"/>
  </r>
  <r>
    <n v="159"/>
    <x v="7"/>
    <x v="32"/>
    <x v="11"/>
    <x v="21"/>
    <n v="2"/>
    <x v="158"/>
    <x v="0"/>
    <s v="Doing daily"/>
  </r>
  <r>
    <n v="160"/>
    <x v="10"/>
    <x v="18"/>
    <x v="13"/>
    <x v="52"/>
    <n v="6"/>
    <x v="159"/>
    <x v="2"/>
    <s v="Struggling a bit"/>
  </r>
  <r>
    <n v="161"/>
    <x v="6"/>
    <x v="35"/>
    <x v="27"/>
    <x v="46"/>
    <n v="4"/>
    <x v="160"/>
    <x v="3"/>
    <s v="Watching tutorials"/>
  </r>
  <r>
    <n v="162"/>
    <x v="4"/>
    <x v="37"/>
    <x v="5"/>
    <x v="51"/>
    <n v="10"/>
    <x v="161"/>
    <x v="0"/>
    <s v="Need more practice"/>
  </r>
  <r>
    <n v="163"/>
    <x v="15"/>
    <x v="36"/>
    <x v="2"/>
    <x v="33"/>
    <n v="5"/>
    <x v="162"/>
    <x v="0"/>
    <s v="Watching tutorials"/>
  </r>
  <r>
    <n v="164"/>
    <x v="1"/>
    <x v="20"/>
    <x v="33"/>
    <x v="28"/>
    <n v="7"/>
    <x v="163"/>
    <x v="0"/>
    <s v="Improved a lot"/>
  </r>
  <r>
    <n v="165"/>
    <x v="6"/>
    <x v="7"/>
    <x v="8"/>
    <x v="51"/>
    <n v="7"/>
    <x v="164"/>
    <x v="2"/>
    <s v="Almost done"/>
  </r>
  <r>
    <n v="166"/>
    <x v="9"/>
    <x v="5"/>
    <x v="60"/>
    <x v="36"/>
    <n v="8"/>
    <x v="165"/>
    <x v="3"/>
    <s v="Watching tutorials"/>
  </r>
  <r>
    <n v="167"/>
    <x v="13"/>
    <x v="24"/>
    <x v="15"/>
    <x v="43"/>
    <n v="4"/>
    <x v="166"/>
    <x v="0"/>
    <s v="Almost done"/>
  </r>
  <r>
    <n v="168"/>
    <x v="5"/>
    <x v="43"/>
    <x v="2"/>
    <x v="1"/>
    <n v="10"/>
    <x v="167"/>
    <x v="2"/>
    <s v="Almost done"/>
  </r>
  <r>
    <n v="169"/>
    <x v="5"/>
    <x v="32"/>
    <x v="48"/>
    <x v="35"/>
    <n v="9"/>
    <x v="168"/>
    <x v="3"/>
    <s v="Doing daily"/>
  </r>
  <r>
    <n v="170"/>
    <x v="14"/>
    <x v="30"/>
    <x v="47"/>
    <x v="8"/>
    <n v="4"/>
    <x v="169"/>
    <x v="0"/>
    <s v="Improved a lot"/>
  </r>
  <r>
    <n v="171"/>
    <x v="13"/>
    <x v="14"/>
    <x v="8"/>
    <x v="9"/>
    <n v="4"/>
    <x v="170"/>
    <x v="1"/>
    <s v="Almost done"/>
  </r>
  <r>
    <n v="172"/>
    <x v="8"/>
    <x v="42"/>
    <x v="12"/>
    <x v="41"/>
    <n v="7"/>
    <x v="171"/>
    <x v="0"/>
    <s v="Almost done"/>
  </r>
  <r>
    <n v="173"/>
    <x v="11"/>
    <x v="20"/>
    <x v="36"/>
    <x v="14"/>
    <n v="9"/>
    <x v="172"/>
    <x v="2"/>
    <s v="Starting soon"/>
  </r>
  <r>
    <n v="174"/>
    <x v="13"/>
    <x v="33"/>
    <x v="16"/>
    <x v="44"/>
    <n v="8"/>
    <x v="173"/>
    <x v="0"/>
    <s v="Improved a lot"/>
  </r>
  <r>
    <n v="175"/>
    <x v="0"/>
    <x v="6"/>
    <x v="48"/>
    <x v="22"/>
    <n v="8"/>
    <x v="174"/>
    <x v="0"/>
    <s v="Starting soon"/>
  </r>
  <r>
    <n v="176"/>
    <x v="16"/>
    <x v="18"/>
    <x v="35"/>
    <x v="53"/>
    <n v="4"/>
    <x v="175"/>
    <x v="0"/>
    <s v="Almost done"/>
  </r>
  <r>
    <n v="177"/>
    <x v="16"/>
    <x v="39"/>
    <x v="48"/>
    <x v="1"/>
    <n v="4"/>
    <x v="176"/>
    <x v="1"/>
    <s v="Almost done"/>
  </r>
  <r>
    <n v="178"/>
    <x v="13"/>
    <x v="8"/>
    <x v="5"/>
    <x v="47"/>
    <n v="3"/>
    <x v="177"/>
    <x v="3"/>
    <s v="Almost done"/>
  </r>
  <r>
    <n v="179"/>
    <x v="9"/>
    <x v="43"/>
    <x v="12"/>
    <x v="23"/>
    <n v="1"/>
    <x v="178"/>
    <x v="0"/>
    <s v="Struggling a bit"/>
  </r>
  <r>
    <n v="180"/>
    <x v="13"/>
    <x v="25"/>
    <x v="57"/>
    <x v="20"/>
    <n v="8"/>
    <x v="179"/>
    <x v="3"/>
    <s v="Struggling a bit"/>
  </r>
  <r>
    <n v="181"/>
    <x v="1"/>
    <x v="43"/>
    <x v="61"/>
    <x v="27"/>
    <n v="7"/>
    <x v="180"/>
    <x v="0"/>
    <s v="Watching tutorials"/>
  </r>
  <r>
    <n v="182"/>
    <x v="6"/>
    <x v="24"/>
    <x v="48"/>
    <x v="24"/>
    <n v="9"/>
    <x v="181"/>
    <x v="2"/>
    <s v="Watching tutorials"/>
  </r>
  <r>
    <n v="183"/>
    <x v="2"/>
    <x v="33"/>
    <x v="51"/>
    <x v="36"/>
    <n v="8"/>
    <x v="182"/>
    <x v="1"/>
    <s v="Struggling a bit"/>
  </r>
  <r>
    <n v="184"/>
    <x v="10"/>
    <x v="26"/>
    <x v="1"/>
    <x v="38"/>
    <n v="3"/>
    <x v="183"/>
    <x v="3"/>
    <s v="Improved a lot"/>
  </r>
  <r>
    <n v="185"/>
    <x v="10"/>
    <x v="11"/>
    <x v="31"/>
    <x v="53"/>
    <n v="6"/>
    <x v="184"/>
    <x v="1"/>
    <s v="Watching tutorials"/>
  </r>
  <r>
    <n v="186"/>
    <x v="12"/>
    <x v="17"/>
    <x v="1"/>
    <x v="19"/>
    <n v="9"/>
    <x v="185"/>
    <x v="3"/>
    <s v="Struggling a bit"/>
  </r>
  <r>
    <n v="187"/>
    <x v="12"/>
    <x v="31"/>
    <x v="37"/>
    <x v="10"/>
    <n v="10"/>
    <x v="186"/>
    <x v="1"/>
    <s v="Need more practice"/>
  </r>
  <r>
    <n v="188"/>
    <x v="16"/>
    <x v="27"/>
    <x v="36"/>
    <x v="43"/>
    <n v="9"/>
    <x v="187"/>
    <x v="0"/>
    <s v="Starting soon"/>
  </r>
  <r>
    <n v="189"/>
    <x v="3"/>
    <x v="21"/>
    <x v="17"/>
    <x v="39"/>
    <n v="9"/>
    <x v="188"/>
    <x v="0"/>
    <s v="Starting soon"/>
  </r>
  <r>
    <n v="190"/>
    <x v="10"/>
    <x v="31"/>
    <x v="62"/>
    <x v="16"/>
    <n v="3"/>
    <x v="189"/>
    <x v="2"/>
    <s v="Watching tutorials"/>
  </r>
  <r>
    <n v="191"/>
    <x v="10"/>
    <x v="41"/>
    <x v="62"/>
    <x v="39"/>
    <n v="5"/>
    <x v="190"/>
    <x v="3"/>
    <s v="Struggling a bit"/>
  </r>
  <r>
    <n v="192"/>
    <x v="15"/>
    <x v="14"/>
    <x v="7"/>
    <x v="37"/>
    <n v="10"/>
    <x v="191"/>
    <x v="0"/>
    <s v="Watching tutorials"/>
  </r>
  <r>
    <n v="193"/>
    <x v="0"/>
    <x v="22"/>
    <x v="19"/>
    <x v="6"/>
    <n v="2"/>
    <x v="192"/>
    <x v="2"/>
    <s v="Improved a lot"/>
  </r>
  <r>
    <n v="194"/>
    <x v="14"/>
    <x v="44"/>
    <x v="45"/>
    <x v="35"/>
    <n v="9"/>
    <x v="193"/>
    <x v="0"/>
    <s v="Improved a lot"/>
  </r>
  <r>
    <n v="195"/>
    <x v="1"/>
    <x v="32"/>
    <x v="63"/>
    <x v="0"/>
    <n v="1"/>
    <x v="194"/>
    <x v="2"/>
    <s v="Need more practice"/>
  </r>
  <r>
    <n v="196"/>
    <x v="11"/>
    <x v="33"/>
    <x v="6"/>
    <x v="25"/>
    <n v="2"/>
    <x v="195"/>
    <x v="1"/>
    <s v="Almost done"/>
  </r>
  <r>
    <n v="197"/>
    <x v="13"/>
    <x v="5"/>
    <x v="1"/>
    <x v="48"/>
    <n v="5"/>
    <x v="196"/>
    <x v="0"/>
    <s v="Need more practice"/>
  </r>
  <r>
    <n v="198"/>
    <x v="4"/>
    <x v="0"/>
    <x v="64"/>
    <x v="25"/>
    <n v="2"/>
    <x v="197"/>
    <x v="1"/>
    <s v="Improved a lot"/>
  </r>
  <r>
    <n v="199"/>
    <x v="1"/>
    <x v="10"/>
    <x v="54"/>
    <x v="16"/>
    <n v="6"/>
    <x v="198"/>
    <x v="2"/>
    <s v="Need more practice"/>
  </r>
  <r>
    <n v="200"/>
    <x v="16"/>
    <x v="4"/>
    <x v="1"/>
    <x v="46"/>
    <n v="9"/>
    <x v="199"/>
    <x v="2"/>
    <s v="Watching tutorials"/>
  </r>
  <r>
    <n v="201"/>
    <x v="6"/>
    <x v="0"/>
    <x v="41"/>
    <x v="13"/>
    <n v="10"/>
    <x v="200"/>
    <x v="2"/>
    <s v="Improved a lot"/>
  </r>
  <r>
    <n v="202"/>
    <x v="16"/>
    <x v="29"/>
    <x v="48"/>
    <x v="24"/>
    <n v="5"/>
    <x v="201"/>
    <x v="1"/>
    <s v="Doing daily"/>
  </r>
  <r>
    <n v="203"/>
    <x v="13"/>
    <x v="28"/>
    <x v="8"/>
    <x v="25"/>
    <n v="1"/>
    <x v="202"/>
    <x v="2"/>
    <s v="Doing daily"/>
  </r>
  <r>
    <n v="204"/>
    <x v="4"/>
    <x v="19"/>
    <x v="18"/>
    <x v="5"/>
    <n v="2"/>
    <x v="203"/>
    <x v="3"/>
    <s v="Almost done"/>
  </r>
  <r>
    <n v="205"/>
    <x v="13"/>
    <x v="38"/>
    <x v="2"/>
    <x v="52"/>
    <n v="8"/>
    <x v="204"/>
    <x v="0"/>
    <s v="Improved a lot"/>
  </r>
  <r>
    <n v="206"/>
    <x v="10"/>
    <x v="4"/>
    <x v="47"/>
    <x v="41"/>
    <n v="3"/>
    <x v="205"/>
    <x v="0"/>
    <s v="Watching tutorials"/>
  </r>
  <r>
    <n v="207"/>
    <x v="3"/>
    <x v="24"/>
    <x v="16"/>
    <x v="32"/>
    <n v="4"/>
    <x v="206"/>
    <x v="0"/>
    <s v="Doing daily"/>
  </r>
  <r>
    <n v="208"/>
    <x v="16"/>
    <x v="25"/>
    <x v="44"/>
    <x v="33"/>
    <n v="6"/>
    <x v="207"/>
    <x v="2"/>
    <s v="Struggling a bit"/>
  </r>
  <r>
    <n v="209"/>
    <x v="12"/>
    <x v="3"/>
    <x v="0"/>
    <x v="45"/>
    <n v="7"/>
    <x v="208"/>
    <x v="1"/>
    <s v="Starting soon"/>
  </r>
  <r>
    <n v="210"/>
    <x v="16"/>
    <x v="19"/>
    <x v="19"/>
    <x v="25"/>
    <n v="2"/>
    <x v="209"/>
    <x v="0"/>
    <s v="Starting soon"/>
  </r>
  <r>
    <n v="211"/>
    <x v="13"/>
    <x v="18"/>
    <x v="18"/>
    <x v="4"/>
    <n v="7"/>
    <x v="210"/>
    <x v="1"/>
    <s v="Starting soon"/>
  </r>
  <r>
    <n v="212"/>
    <x v="1"/>
    <x v="24"/>
    <x v="23"/>
    <x v="35"/>
    <n v="7"/>
    <x v="211"/>
    <x v="1"/>
    <s v="Watching tutorials"/>
  </r>
  <r>
    <n v="213"/>
    <x v="0"/>
    <x v="1"/>
    <x v="31"/>
    <x v="49"/>
    <n v="7"/>
    <x v="212"/>
    <x v="3"/>
    <s v="Watching tutorials"/>
  </r>
  <r>
    <n v="214"/>
    <x v="16"/>
    <x v="22"/>
    <x v="19"/>
    <x v="8"/>
    <n v="9"/>
    <x v="213"/>
    <x v="0"/>
    <s v="Need more practice"/>
  </r>
  <r>
    <n v="215"/>
    <x v="12"/>
    <x v="38"/>
    <x v="65"/>
    <x v="15"/>
    <n v="10"/>
    <x v="214"/>
    <x v="2"/>
    <s v="Watching tutorials"/>
  </r>
  <r>
    <n v="216"/>
    <x v="5"/>
    <x v="27"/>
    <x v="56"/>
    <x v="33"/>
    <n v="8"/>
    <x v="215"/>
    <x v="3"/>
    <s v="Almost done"/>
  </r>
  <r>
    <n v="217"/>
    <x v="12"/>
    <x v="35"/>
    <x v="46"/>
    <x v="38"/>
    <n v="5"/>
    <x v="216"/>
    <x v="1"/>
    <s v="Struggling a bit"/>
  </r>
  <r>
    <n v="218"/>
    <x v="11"/>
    <x v="35"/>
    <x v="1"/>
    <x v="14"/>
    <n v="9"/>
    <x v="217"/>
    <x v="2"/>
    <s v="Doing daily"/>
  </r>
  <r>
    <n v="219"/>
    <x v="6"/>
    <x v="12"/>
    <x v="7"/>
    <x v="38"/>
    <n v="2"/>
    <x v="218"/>
    <x v="1"/>
    <s v="Improved a lot"/>
  </r>
  <r>
    <n v="220"/>
    <x v="14"/>
    <x v="8"/>
    <x v="20"/>
    <x v="0"/>
    <n v="4"/>
    <x v="219"/>
    <x v="0"/>
    <s v="Watching tutorials"/>
  </r>
  <r>
    <n v="221"/>
    <x v="3"/>
    <x v="26"/>
    <x v="52"/>
    <x v="6"/>
    <n v="4"/>
    <x v="220"/>
    <x v="0"/>
    <s v="Need more practice"/>
  </r>
  <r>
    <n v="222"/>
    <x v="6"/>
    <x v="39"/>
    <x v="9"/>
    <x v="23"/>
    <n v="7"/>
    <x v="221"/>
    <x v="2"/>
    <s v="Watching tutorials"/>
  </r>
  <r>
    <n v="223"/>
    <x v="17"/>
    <x v="16"/>
    <x v="49"/>
    <x v="39"/>
    <n v="6"/>
    <x v="222"/>
    <x v="0"/>
    <s v="Watching tutorials"/>
  </r>
  <r>
    <n v="224"/>
    <x v="6"/>
    <x v="14"/>
    <x v="15"/>
    <x v="1"/>
    <n v="2"/>
    <x v="223"/>
    <x v="3"/>
    <s v="Doing daily"/>
  </r>
  <r>
    <n v="225"/>
    <x v="8"/>
    <x v="20"/>
    <x v="34"/>
    <x v="12"/>
    <n v="3"/>
    <x v="224"/>
    <x v="0"/>
    <s v="Doing daily"/>
  </r>
  <r>
    <n v="226"/>
    <x v="1"/>
    <x v="12"/>
    <x v="8"/>
    <x v="53"/>
    <n v="8"/>
    <x v="225"/>
    <x v="3"/>
    <s v="Starting soon"/>
  </r>
  <r>
    <n v="227"/>
    <x v="5"/>
    <x v="21"/>
    <x v="63"/>
    <x v="23"/>
    <n v="5"/>
    <x v="226"/>
    <x v="2"/>
    <s v="Starting soon"/>
  </r>
  <r>
    <n v="228"/>
    <x v="10"/>
    <x v="22"/>
    <x v="1"/>
    <x v="39"/>
    <n v="3"/>
    <x v="227"/>
    <x v="0"/>
    <s v="Watching tutorials"/>
  </r>
  <r>
    <n v="229"/>
    <x v="8"/>
    <x v="6"/>
    <x v="48"/>
    <x v="36"/>
    <n v="8"/>
    <x v="228"/>
    <x v="1"/>
    <s v="Improved a lot"/>
  </r>
  <r>
    <n v="230"/>
    <x v="9"/>
    <x v="3"/>
    <x v="12"/>
    <x v="48"/>
    <n v="10"/>
    <x v="229"/>
    <x v="2"/>
    <s v="Starting soon"/>
  </r>
  <r>
    <n v="231"/>
    <x v="16"/>
    <x v="6"/>
    <x v="34"/>
    <x v="11"/>
    <n v="4"/>
    <x v="230"/>
    <x v="0"/>
    <s v="Almost done"/>
  </r>
  <r>
    <n v="232"/>
    <x v="2"/>
    <x v="21"/>
    <x v="58"/>
    <x v="5"/>
    <n v="6"/>
    <x v="231"/>
    <x v="2"/>
    <s v="Improved a lot"/>
  </r>
  <r>
    <n v="233"/>
    <x v="14"/>
    <x v="39"/>
    <x v="7"/>
    <x v="5"/>
    <n v="2"/>
    <x v="232"/>
    <x v="2"/>
    <s v="Improved a lot"/>
  </r>
  <r>
    <n v="234"/>
    <x v="9"/>
    <x v="27"/>
    <x v="13"/>
    <x v="44"/>
    <n v="8"/>
    <x v="233"/>
    <x v="1"/>
    <s v="Almost done"/>
  </r>
  <r>
    <n v="235"/>
    <x v="11"/>
    <x v="8"/>
    <x v="7"/>
    <x v="27"/>
    <n v="5"/>
    <x v="234"/>
    <x v="0"/>
    <s v="Watching tutorials"/>
  </r>
  <r>
    <n v="236"/>
    <x v="0"/>
    <x v="35"/>
    <x v="22"/>
    <x v="47"/>
    <n v="3"/>
    <x v="235"/>
    <x v="0"/>
    <s v="Struggling a bit"/>
  </r>
  <r>
    <n v="237"/>
    <x v="17"/>
    <x v="25"/>
    <x v="17"/>
    <x v="4"/>
    <n v="1"/>
    <x v="236"/>
    <x v="2"/>
    <s v="Watching tutorials"/>
  </r>
  <r>
    <n v="238"/>
    <x v="14"/>
    <x v="43"/>
    <x v="10"/>
    <x v="10"/>
    <n v="6"/>
    <x v="237"/>
    <x v="0"/>
    <s v="Struggling a bit"/>
  </r>
  <r>
    <n v="239"/>
    <x v="7"/>
    <x v="34"/>
    <x v="13"/>
    <x v="44"/>
    <n v="7"/>
    <x v="238"/>
    <x v="2"/>
    <s v="Watching tutorials"/>
  </r>
  <r>
    <n v="240"/>
    <x v="13"/>
    <x v="7"/>
    <x v="27"/>
    <x v="35"/>
    <n v="5"/>
    <x v="239"/>
    <x v="3"/>
    <s v="Almost done"/>
  </r>
  <r>
    <n v="241"/>
    <x v="12"/>
    <x v="40"/>
    <x v="50"/>
    <x v="52"/>
    <n v="6"/>
    <x v="240"/>
    <x v="3"/>
    <s v="Starting soon"/>
  </r>
  <r>
    <n v="242"/>
    <x v="2"/>
    <x v="12"/>
    <x v="43"/>
    <x v="4"/>
    <n v="10"/>
    <x v="241"/>
    <x v="3"/>
    <s v="Almost done"/>
  </r>
  <r>
    <n v="243"/>
    <x v="11"/>
    <x v="6"/>
    <x v="23"/>
    <x v="33"/>
    <n v="8"/>
    <x v="242"/>
    <x v="3"/>
    <s v="Doing daily"/>
  </r>
  <r>
    <n v="244"/>
    <x v="5"/>
    <x v="30"/>
    <x v="53"/>
    <x v="37"/>
    <n v="4"/>
    <x v="243"/>
    <x v="1"/>
    <s v="Doing daily"/>
  </r>
  <r>
    <n v="245"/>
    <x v="10"/>
    <x v="40"/>
    <x v="2"/>
    <x v="28"/>
    <n v="10"/>
    <x v="244"/>
    <x v="2"/>
    <s v="Starting soon"/>
  </r>
  <r>
    <n v="246"/>
    <x v="1"/>
    <x v="19"/>
    <x v="41"/>
    <x v="53"/>
    <n v="8"/>
    <x v="245"/>
    <x v="2"/>
    <s v="Doing daily"/>
  </r>
  <r>
    <n v="247"/>
    <x v="11"/>
    <x v="29"/>
    <x v="39"/>
    <x v="34"/>
    <n v="9"/>
    <x v="246"/>
    <x v="3"/>
    <s v="Watching tutorials"/>
  </r>
  <r>
    <n v="248"/>
    <x v="2"/>
    <x v="2"/>
    <x v="1"/>
    <x v="29"/>
    <n v="2"/>
    <x v="247"/>
    <x v="1"/>
    <s v="Starting soon"/>
  </r>
  <r>
    <n v="249"/>
    <x v="10"/>
    <x v="31"/>
    <x v="22"/>
    <x v="49"/>
    <n v="8"/>
    <x v="248"/>
    <x v="0"/>
    <s v="Starting soon"/>
  </r>
  <r>
    <n v="250"/>
    <x v="16"/>
    <x v="23"/>
    <x v="34"/>
    <x v="24"/>
    <n v="6"/>
    <x v="249"/>
    <x v="1"/>
    <s v="Watching tutorials"/>
  </r>
  <r>
    <n v="251"/>
    <x v="14"/>
    <x v="34"/>
    <x v="40"/>
    <x v="12"/>
    <n v="5"/>
    <x v="250"/>
    <x v="0"/>
    <s v="Almost done"/>
  </r>
  <r>
    <n v="252"/>
    <x v="4"/>
    <x v="4"/>
    <x v="29"/>
    <x v="18"/>
    <n v="7"/>
    <x v="251"/>
    <x v="3"/>
    <s v="Struggling a bit"/>
  </r>
  <r>
    <n v="253"/>
    <x v="7"/>
    <x v="9"/>
    <x v="41"/>
    <x v="50"/>
    <n v="10"/>
    <x v="252"/>
    <x v="0"/>
    <s v="Doing daily"/>
  </r>
  <r>
    <n v="254"/>
    <x v="6"/>
    <x v="19"/>
    <x v="43"/>
    <x v="54"/>
    <n v="10"/>
    <x v="253"/>
    <x v="2"/>
    <s v="Starting soon"/>
  </r>
  <r>
    <n v="255"/>
    <x v="2"/>
    <x v="30"/>
    <x v="56"/>
    <x v="38"/>
    <n v="8"/>
    <x v="254"/>
    <x v="1"/>
    <s v="Doing daily"/>
  </r>
  <r>
    <n v="256"/>
    <x v="3"/>
    <x v="22"/>
    <x v="52"/>
    <x v="24"/>
    <n v="2"/>
    <x v="255"/>
    <x v="0"/>
    <s v="Improved a lot"/>
  </r>
  <r>
    <n v="257"/>
    <x v="14"/>
    <x v="36"/>
    <x v="15"/>
    <x v="45"/>
    <n v="3"/>
    <x v="256"/>
    <x v="3"/>
    <s v="Improved a lot"/>
  </r>
  <r>
    <n v="258"/>
    <x v="14"/>
    <x v="6"/>
    <x v="48"/>
    <x v="45"/>
    <n v="7"/>
    <x v="257"/>
    <x v="3"/>
    <s v="Improved a lot"/>
  </r>
  <r>
    <n v="259"/>
    <x v="3"/>
    <x v="33"/>
    <x v="26"/>
    <x v="0"/>
    <n v="7"/>
    <x v="258"/>
    <x v="0"/>
    <s v="Watching tutorials"/>
  </r>
  <r>
    <n v="260"/>
    <x v="1"/>
    <x v="28"/>
    <x v="16"/>
    <x v="38"/>
    <n v="4"/>
    <x v="259"/>
    <x v="0"/>
    <s v="Need more practice"/>
  </r>
  <r>
    <n v="261"/>
    <x v="17"/>
    <x v="22"/>
    <x v="56"/>
    <x v="54"/>
    <n v="2"/>
    <x v="260"/>
    <x v="0"/>
    <s v="Struggling a bit"/>
  </r>
  <r>
    <n v="262"/>
    <x v="14"/>
    <x v="5"/>
    <x v="43"/>
    <x v="6"/>
    <n v="5"/>
    <x v="261"/>
    <x v="3"/>
    <s v="Doing daily"/>
  </r>
  <r>
    <n v="263"/>
    <x v="14"/>
    <x v="0"/>
    <x v="21"/>
    <x v="26"/>
    <n v="2"/>
    <x v="262"/>
    <x v="0"/>
    <s v="Struggling a bit"/>
  </r>
  <r>
    <n v="264"/>
    <x v="16"/>
    <x v="21"/>
    <x v="17"/>
    <x v="18"/>
    <n v="3"/>
    <x v="263"/>
    <x v="1"/>
    <s v="Struggling a bit"/>
  </r>
  <r>
    <n v="265"/>
    <x v="13"/>
    <x v="43"/>
    <x v="65"/>
    <x v="18"/>
    <n v="10"/>
    <x v="264"/>
    <x v="2"/>
    <s v="Need more practice"/>
  </r>
  <r>
    <n v="266"/>
    <x v="9"/>
    <x v="21"/>
    <x v="66"/>
    <x v="42"/>
    <n v="9"/>
    <x v="265"/>
    <x v="3"/>
    <s v="Struggling a bit"/>
  </r>
  <r>
    <n v="267"/>
    <x v="6"/>
    <x v="16"/>
    <x v="51"/>
    <x v="10"/>
    <n v="6"/>
    <x v="266"/>
    <x v="0"/>
    <s v="Struggling a bit"/>
  </r>
  <r>
    <n v="268"/>
    <x v="2"/>
    <x v="30"/>
    <x v="21"/>
    <x v="44"/>
    <n v="7"/>
    <x v="267"/>
    <x v="2"/>
    <s v="Starting soon"/>
  </r>
  <r>
    <n v="269"/>
    <x v="15"/>
    <x v="22"/>
    <x v="43"/>
    <x v="44"/>
    <n v="2"/>
    <x v="268"/>
    <x v="3"/>
    <s v="Struggling a bit"/>
  </r>
  <r>
    <n v="270"/>
    <x v="7"/>
    <x v="19"/>
    <x v="27"/>
    <x v="52"/>
    <n v="4"/>
    <x v="269"/>
    <x v="0"/>
    <s v="Struggling a bit"/>
  </r>
  <r>
    <n v="271"/>
    <x v="0"/>
    <x v="15"/>
    <x v="36"/>
    <x v="23"/>
    <n v="2"/>
    <x v="270"/>
    <x v="3"/>
    <s v="Improved a lot"/>
  </r>
  <r>
    <n v="272"/>
    <x v="11"/>
    <x v="44"/>
    <x v="22"/>
    <x v="14"/>
    <n v="7"/>
    <x v="271"/>
    <x v="2"/>
    <s v="Improved a lot"/>
  </r>
  <r>
    <n v="273"/>
    <x v="4"/>
    <x v="6"/>
    <x v="17"/>
    <x v="35"/>
    <n v="5"/>
    <x v="272"/>
    <x v="2"/>
    <s v="Improved a lot"/>
  </r>
  <r>
    <n v="274"/>
    <x v="2"/>
    <x v="13"/>
    <x v="67"/>
    <x v="2"/>
    <n v="2"/>
    <x v="273"/>
    <x v="3"/>
    <s v="Almost done"/>
  </r>
  <r>
    <n v="275"/>
    <x v="4"/>
    <x v="24"/>
    <x v="46"/>
    <x v="36"/>
    <n v="8"/>
    <x v="274"/>
    <x v="0"/>
    <s v="Improved a lot"/>
  </r>
  <r>
    <n v="276"/>
    <x v="15"/>
    <x v="13"/>
    <x v="29"/>
    <x v="46"/>
    <n v="9"/>
    <x v="275"/>
    <x v="1"/>
    <s v="Improved a lot"/>
  </r>
  <r>
    <n v="277"/>
    <x v="17"/>
    <x v="40"/>
    <x v="67"/>
    <x v="45"/>
    <n v="4"/>
    <x v="276"/>
    <x v="2"/>
    <s v="Starting soon"/>
  </r>
  <r>
    <n v="278"/>
    <x v="2"/>
    <x v="44"/>
    <x v="59"/>
    <x v="11"/>
    <n v="2"/>
    <x v="277"/>
    <x v="2"/>
    <s v="Need more practice"/>
  </r>
  <r>
    <n v="279"/>
    <x v="11"/>
    <x v="27"/>
    <x v="15"/>
    <x v="11"/>
    <n v="8"/>
    <x v="278"/>
    <x v="2"/>
    <s v="Doing daily"/>
  </r>
  <r>
    <n v="280"/>
    <x v="15"/>
    <x v="33"/>
    <x v="25"/>
    <x v="55"/>
    <n v="3"/>
    <x v="279"/>
    <x v="1"/>
    <s v="Almost done"/>
  </r>
  <r>
    <n v="281"/>
    <x v="10"/>
    <x v="24"/>
    <x v="48"/>
    <x v="38"/>
    <n v="9"/>
    <x v="280"/>
    <x v="1"/>
    <s v="Watching tutorials"/>
  </r>
  <r>
    <n v="282"/>
    <x v="4"/>
    <x v="8"/>
    <x v="54"/>
    <x v="19"/>
    <n v="10"/>
    <x v="281"/>
    <x v="2"/>
    <s v="Watching tutorials"/>
  </r>
  <r>
    <n v="283"/>
    <x v="4"/>
    <x v="9"/>
    <x v="49"/>
    <x v="22"/>
    <n v="1"/>
    <x v="282"/>
    <x v="1"/>
    <s v="Watching tutorials"/>
  </r>
  <r>
    <n v="284"/>
    <x v="9"/>
    <x v="22"/>
    <x v="39"/>
    <x v="3"/>
    <n v="7"/>
    <x v="283"/>
    <x v="0"/>
    <s v="Watching tutorials"/>
  </r>
  <r>
    <n v="285"/>
    <x v="7"/>
    <x v="23"/>
    <x v="27"/>
    <x v="23"/>
    <n v="2"/>
    <x v="284"/>
    <x v="1"/>
    <s v="Need more practice"/>
  </r>
  <r>
    <n v="286"/>
    <x v="6"/>
    <x v="37"/>
    <x v="30"/>
    <x v="49"/>
    <n v="3"/>
    <x v="285"/>
    <x v="2"/>
    <s v="Need more practice"/>
  </r>
  <r>
    <n v="287"/>
    <x v="10"/>
    <x v="37"/>
    <x v="7"/>
    <x v="54"/>
    <n v="7"/>
    <x v="286"/>
    <x v="0"/>
    <s v="Doing daily"/>
  </r>
  <r>
    <n v="288"/>
    <x v="12"/>
    <x v="41"/>
    <x v="34"/>
    <x v="51"/>
    <n v="9"/>
    <x v="287"/>
    <x v="1"/>
    <s v="Doing daily"/>
  </r>
  <r>
    <n v="289"/>
    <x v="8"/>
    <x v="29"/>
    <x v="25"/>
    <x v="23"/>
    <n v="4"/>
    <x v="288"/>
    <x v="1"/>
    <s v="Almost done"/>
  </r>
  <r>
    <n v="290"/>
    <x v="7"/>
    <x v="11"/>
    <x v="16"/>
    <x v="26"/>
    <n v="9"/>
    <x v="289"/>
    <x v="0"/>
    <s v="Doing daily"/>
  </r>
  <r>
    <n v="291"/>
    <x v="7"/>
    <x v="15"/>
    <x v="34"/>
    <x v="36"/>
    <n v="9"/>
    <x v="290"/>
    <x v="2"/>
    <s v="Starting soon"/>
  </r>
  <r>
    <n v="292"/>
    <x v="15"/>
    <x v="8"/>
    <x v="44"/>
    <x v="39"/>
    <n v="6"/>
    <x v="291"/>
    <x v="2"/>
    <s v="Need more practice"/>
  </r>
  <r>
    <n v="293"/>
    <x v="11"/>
    <x v="24"/>
    <x v="25"/>
    <x v="43"/>
    <n v="3"/>
    <x v="292"/>
    <x v="2"/>
    <s v="Starting soon"/>
  </r>
  <r>
    <n v="294"/>
    <x v="16"/>
    <x v="31"/>
    <x v="47"/>
    <x v="5"/>
    <n v="3"/>
    <x v="293"/>
    <x v="3"/>
    <s v="Watching tutorials"/>
  </r>
  <r>
    <n v="295"/>
    <x v="11"/>
    <x v="5"/>
    <x v="34"/>
    <x v="27"/>
    <n v="4"/>
    <x v="294"/>
    <x v="3"/>
    <s v="Almost done"/>
  </r>
  <r>
    <n v="296"/>
    <x v="10"/>
    <x v="18"/>
    <x v="44"/>
    <x v="2"/>
    <n v="7"/>
    <x v="295"/>
    <x v="3"/>
    <s v="Improved a lot"/>
  </r>
  <r>
    <n v="297"/>
    <x v="7"/>
    <x v="10"/>
    <x v="7"/>
    <x v="27"/>
    <n v="6"/>
    <x v="296"/>
    <x v="0"/>
    <s v="Need more practice"/>
  </r>
  <r>
    <n v="298"/>
    <x v="11"/>
    <x v="6"/>
    <x v="44"/>
    <x v="25"/>
    <n v="4"/>
    <x v="297"/>
    <x v="1"/>
    <s v="Starting soon"/>
  </r>
  <r>
    <n v="299"/>
    <x v="0"/>
    <x v="4"/>
    <x v="24"/>
    <x v="47"/>
    <n v="3"/>
    <x v="298"/>
    <x v="2"/>
    <s v="Watching tutorials"/>
  </r>
  <r>
    <n v="300"/>
    <x v="2"/>
    <x v="10"/>
    <x v="34"/>
    <x v="54"/>
    <n v="8"/>
    <x v="299"/>
    <x v="2"/>
    <s v="Improved a lot"/>
  </r>
  <r>
    <n v="301"/>
    <x v="14"/>
    <x v="40"/>
    <x v="51"/>
    <x v="2"/>
    <n v="9"/>
    <x v="300"/>
    <x v="1"/>
    <s v="Almost done"/>
  </r>
  <r>
    <n v="302"/>
    <x v="13"/>
    <x v="39"/>
    <x v="44"/>
    <x v="34"/>
    <n v="2"/>
    <x v="301"/>
    <x v="2"/>
    <s v="Starting soon"/>
  </r>
  <r>
    <n v="303"/>
    <x v="6"/>
    <x v="6"/>
    <x v="44"/>
    <x v="14"/>
    <n v="9"/>
    <x v="302"/>
    <x v="2"/>
    <s v="Doing daily"/>
  </r>
  <r>
    <n v="304"/>
    <x v="4"/>
    <x v="39"/>
    <x v="38"/>
    <x v="50"/>
    <n v="9"/>
    <x v="303"/>
    <x v="1"/>
    <s v="Watching tutorials"/>
  </r>
  <r>
    <n v="305"/>
    <x v="8"/>
    <x v="29"/>
    <x v="39"/>
    <x v="26"/>
    <n v="4"/>
    <x v="304"/>
    <x v="0"/>
    <s v="Watching tutorials"/>
  </r>
  <r>
    <n v="306"/>
    <x v="13"/>
    <x v="15"/>
    <x v="22"/>
    <x v="10"/>
    <n v="10"/>
    <x v="305"/>
    <x v="1"/>
    <s v="Improved a lot"/>
  </r>
  <r>
    <n v="307"/>
    <x v="3"/>
    <x v="2"/>
    <x v="47"/>
    <x v="4"/>
    <n v="9"/>
    <x v="306"/>
    <x v="0"/>
    <s v="Need more practice"/>
  </r>
  <r>
    <n v="308"/>
    <x v="6"/>
    <x v="6"/>
    <x v="6"/>
    <x v="50"/>
    <n v="3"/>
    <x v="307"/>
    <x v="1"/>
    <s v="Struggling a bit"/>
  </r>
  <r>
    <n v="309"/>
    <x v="15"/>
    <x v="11"/>
    <x v="22"/>
    <x v="45"/>
    <n v="1"/>
    <x v="308"/>
    <x v="3"/>
    <s v="Struggling a bit"/>
  </r>
  <r>
    <n v="310"/>
    <x v="11"/>
    <x v="38"/>
    <x v="51"/>
    <x v="33"/>
    <n v="4"/>
    <x v="309"/>
    <x v="2"/>
    <s v="Need more practice"/>
  </r>
  <r>
    <n v="311"/>
    <x v="12"/>
    <x v="5"/>
    <x v="39"/>
    <x v="50"/>
    <n v="7"/>
    <x v="310"/>
    <x v="0"/>
    <s v="Doing daily"/>
  </r>
  <r>
    <n v="312"/>
    <x v="16"/>
    <x v="8"/>
    <x v="45"/>
    <x v="6"/>
    <n v="10"/>
    <x v="311"/>
    <x v="0"/>
    <s v="Starting soon"/>
  </r>
  <r>
    <n v="313"/>
    <x v="11"/>
    <x v="27"/>
    <x v="18"/>
    <x v="22"/>
    <n v="8"/>
    <x v="312"/>
    <x v="0"/>
    <s v="Watching tutorials"/>
  </r>
  <r>
    <n v="314"/>
    <x v="12"/>
    <x v="29"/>
    <x v="19"/>
    <x v="41"/>
    <n v="6"/>
    <x v="313"/>
    <x v="0"/>
    <s v="Improved a lot"/>
  </r>
  <r>
    <n v="315"/>
    <x v="17"/>
    <x v="6"/>
    <x v="37"/>
    <x v="40"/>
    <n v="1"/>
    <x v="314"/>
    <x v="3"/>
    <s v="Need more practice"/>
  </r>
  <r>
    <n v="316"/>
    <x v="0"/>
    <x v="14"/>
    <x v="51"/>
    <x v="43"/>
    <n v="3"/>
    <x v="315"/>
    <x v="1"/>
    <s v="Doing daily"/>
  </r>
  <r>
    <n v="317"/>
    <x v="4"/>
    <x v="6"/>
    <x v="53"/>
    <x v="22"/>
    <n v="6"/>
    <x v="316"/>
    <x v="0"/>
    <s v="Need more practice"/>
  </r>
  <r>
    <n v="318"/>
    <x v="9"/>
    <x v="21"/>
    <x v="40"/>
    <x v="49"/>
    <n v="3"/>
    <x v="317"/>
    <x v="2"/>
    <s v="Need more practice"/>
  </r>
  <r>
    <n v="319"/>
    <x v="3"/>
    <x v="34"/>
    <x v="5"/>
    <x v="40"/>
    <n v="2"/>
    <x v="318"/>
    <x v="0"/>
    <s v="Watching tutorials"/>
  </r>
  <r>
    <n v="320"/>
    <x v="11"/>
    <x v="21"/>
    <x v="48"/>
    <x v="27"/>
    <n v="7"/>
    <x v="319"/>
    <x v="3"/>
    <s v="Watching tutorials"/>
  </r>
  <r>
    <n v="321"/>
    <x v="7"/>
    <x v="9"/>
    <x v="12"/>
    <x v="15"/>
    <n v="9"/>
    <x v="320"/>
    <x v="1"/>
    <s v="Almost done"/>
  </r>
  <r>
    <n v="322"/>
    <x v="8"/>
    <x v="40"/>
    <x v="65"/>
    <x v="27"/>
    <n v="3"/>
    <x v="321"/>
    <x v="3"/>
    <s v="Almost done"/>
  </r>
  <r>
    <n v="323"/>
    <x v="1"/>
    <x v="7"/>
    <x v="65"/>
    <x v="54"/>
    <n v="10"/>
    <x v="322"/>
    <x v="1"/>
    <s v="Struggling a bit"/>
  </r>
  <r>
    <n v="324"/>
    <x v="6"/>
    <x v="35"/>
    <x v="52"/>
    <x v="35"/>
    <n v="6"/>
    <x v="323"/>
    <x v="2"/>
    <s v="Need more practice"/>
  </r>
  <r>
    <n v="325"/>
    <x v="3"/>
    <x v="14"/>
    <x v="44"/>
    <x v="2"/>
    <n v="6"/>
    <x v="324"/>
    <x v="3"/>
    <s v="Improved a lot"/>
  </r>
  <r>
    <n v="326"/>
    <x v="12"/>
    <x v="35"/>
    <x v="3"/>
    <x v="32"/>
    <n v="7"/>
    <x v="325"/>
    <x v="0"/>
    <s v="Need more practice"/>
  </r>
  <r>
    <n v="327"/>
    <x v="13"/>
    <x v="6"/>
    <x v="30"/>
    <x v="29"/>
    <n v="5"/>
    <x v="326"/>
    <x v="1"/>
    <s v="Struggling a bit"/>
  </r>
  <r>
    <n v="328"/>
    <x v="17"/>
    <x v="35"/>
    <x v="3"/>
    <x v="17"/>
    <n v="9"/>
    <x v="327"/>
    <x v="1"/>
    <s v="Almost done"/>
  </r>
  <r>
    <n v="329"/>
    <x v="10"/>
    <x v="33"/>
    <x v="51"/>
    <x v="46"/>
    <n v="2"/>
    <x v="328"/>
    <x v="1"/>
    <s v="Need more practice"/>
  </r>
  <r>
    <n v="330"/>
    <x v="10"/>
    <x v="36"/>
    <x v="25"/>
    <x v="42"/>
    <n v="9"/>
    <x v="329"/>
    <x v="1"/>
    <s v="Almost done"/>
  </r>
  <r>
    <n v="331"/>
    <x v="1"/>
    <x v="25"/>
    <x v="7"/>
    <x v="7"/>
    <n v="3"/>
    <x v="330"/>
    <x v="2"/>
    <s v="Starting soon"/>
  </r>
  <r>
    <n v="332"/>
    <x v="0"/>
    <x v="35"/>
    <x v="48"/>
    <x v="31"/>
    <n v="3"/>
    <x v="331"/>
    <x v="0"/>
    <s v="Improved a lot"/>
  </r>
  <r>
    <n v="333"/>
    <x v="5"/>
    <x v="11"/>
    <x v="36"/>
    <x v="42"/>
    <n v="4"/>
    <x v="332"/>
    <x v="1"/>
    <s v="Starting soon"/>
  </r>
  <r>
    <n v="334"/>
    <x v="10"/>
    <x v="6"/>
    <x v="18"/>
    <x v="27"/>
    <n v="10"/>
    <x v="333"/>
    <x v="2"/>
    <s v="Improved a lot"/>
  </r>
  <r>
    <n v="335"/>
    <x v="14"/>
    <x v="8"/>
    <x v="38"/>
    <x v="42"/>
    <n v="1"/>
    <x v="334"/>
    <x v="3"/>
    <s v="Doing daily"/>
  </r>
  <r>
    <n v="336"/>
    <x v="17"/>
    <x v="36"/>
    <x v="21"/>
    <x v="23"/>
    <n v="8"/>
    <x v="335"/>
    <x v="0"/>
    <s v="Watching tutorials"/>
  </r>
  <r>
    <n v="337"/>
    <x v="17"/>
    <x v="25"/>
    <x v="58"/>
    <x v="9"/>
    <n v="6"/>
    <x v="336"/>
    <x v="2"/>
    <s v="Doing daily"/>
  </r>
  <r>
    <n v="338"/>
    <x v="16"/>
    <x v="8"/>
    <x v="66"/>
    <x v="36"/>
    <n v="2"/>
    <x v="337"/>
    <x v="0"/>
    <s v="Struggling a bit"/>
  </r>
  <r>
    <n v="339"/>
    <x v="8"/>
    <x v="29"/>
    <x v="40"/>
    <x v="6"/>
    <n v="10"/>
    <x v="338"/>
    <x v="1"/>
    <s v="Need more practice"/>
  </r>
  <r>
    <n v="340"/>
    <x v="1"/>
    <x v="21"/>
    <x v="39"/>
    <x v="21"/>
    <n v="8"/>
    <x v="339"/>
    <x v="0"/>
    <s v="Almost done"/>
  </r>
  <r>
    <n v="341"/>
    <x v="15"/>
    <x v="16"/>
    <x v="68"/>
    <x v="4"/>
    <n v="7"/>
    <x v="340"/>
    <x v="3"/>
    <s v="Watching tutorials"/>
  </r>
  <r>
    <n v="342"/>
    <x v="8"/>
    <x v="17"/>
    <x v="29"/>
    <x v="34"/>
    <n v="6"/>
    <x v="341"/>
    <x v="2"/>
    <s v="Improved a lot"/>
  </r>
  <r>
    <n v="343"/>
    <x v="17"/>
    <x v="15"/>
    <x v="17"/>
    <x v="19"/>
    <n v="6"/>
    <x v="342"/>
    <x v="3"/>
    <s v="Doing daily"/>
  </r>
  <r>
    <n v="344"/>
    <x v="17"/>
    <x v="18"/>
    <x v="37"/>
    <x v="48"/>
    <n v="10"/>
    <x v="343"/>
    <x v="0"/>
    <s v="Almost done"/>
  </r>
  <r>
    <n v="345"/>
    <x v="15"/>
    <x v="39"/>
    <x v="43"/>
    <x v="6"/>
    <n v="3"/>
    <x v="344"/>
    <x v="0"/>
    <s v="Need more practice"/>
  </r>
  <r>
    <n v="346"/>
    <x v="10"/>
    <x v="26"/>
    <x v="1"/>
    <x v="24"/>
    <n v="1"/>
    <x v="345"/>
    <x v="0"/>
    <s v="Need more practice"/>
  </r>
  <r>
    <n v="347"/>
    <x v="7"/>
    <x v="1"/>
    <x v="1"/>
    <x v="41"/>
    <n v="2"/>
    <x v="346"/>
    <x v="2"/>
    <s v="Need more practice"/>
  </r>
  <r>
    <n v="348"/>
    <x v="12"/>
    <x v="33"/>
    <x v="3"/>
    <x v="12"/>
    <n v="4"/>
    <x v="347"/>
    <x v="1"/>
    <s v="Struggling a bit"/>
  </r>
  <r>
    <n v="349"/>
    <x v="6"/>
    <x v="11"/>
    <x v="8"/>
    <x v="43"/>
    <n v="10"/>
    <x v="348"/>
    <x v="2"/>
    <s v="Need more practice"/>
  </r>
  <r>
    <n v="350"/>
    <x v="9"/>
    <x v="5"/>
    <x v="58"/>
    <x v="29"/>
    <n v="9"/>
    <x v="349"/>
    <x v="3"/>
    <s v="Starting soon"/>
  </r>
  <r>
    <n v="351"/>
    <x v="9"/>
    <x v="8"/>
    <x v="66"/>
    <x v="42"/>
    <n v="10"/>
    <x v="350"/>
    <x v="1"/>
    <s v="Struggling a bit"/>
  </r>
  <r>
    <n v="352"/>
    <x v="8"/>
    <x v="14"/>
    <x v="39"/>
    <x v="34"/>
    <n v="1"/>
    <x v="351"/>
    <x v="1"/>
    <s v="Almost done"/>
  </r>
  <r>
    <n v="353"/>
    <x v="3"/>
    <x v="1"/>
    <x v="61"/>
    <x v="28"/>
    <n v="9"/>
    <x v="352"/>
    <x v="2"/>
    <s v="Doing daily"/>
  </r>
  <r>
    <n v="354"/>
    <x v="12"/>
    <x v="23"/>
    <x v="16"/>
    <x v="45"/>
    <n v="4"/>
    <x v="353"/>
    <x v="3"/>
    <s v="Almost done"/>
  </r>
  <r>
    <n v="355"/>
    <x v="11"/>
    <x v="33"/>
    <x v="51"/>
    <x v="24"/>
    <n v="9"/>
    <x v="354"/>
    <x v="1"/>
    <s v="Starting soon"/>
  </r>
  <r>
    <n v="356"/>
    <x v="12"/>
    <x v="38"/>
    <x v="41"/>
    <x v="26"/>
    <n v="3"/>
    <x v="355"/>
    <x v="1"/>
    <s v="Starting soon"/>
  </r>
  <r>
    <n v="357"/>
    <x v="8"/>
    <x v="28"/>
    <x v="56"/>
    <x v="21"/>
    <n v="8"/>
    <x v="356"/>
    <x v="3"/>
    <s v="Watching tutorials"/>
  </r>
  <r>
    <n v="358"/>
    <x v="3"/>
    <x v="5"/>
    <x v="7"/>
    <x v="41"/>
    <n v="1"/>
    <x v="357"/>
    <x v="2"/>
    <s v="Struggling a bit"/>
  </r>
  <r>
    <n v="359"/>
    <x v="2"/>
    <x v="10"/>
    <x v="35"/>
    <x v="12"/>
    <n v="8"/>
    <x v="358"/>
    <x v="3"/>
    <s v="Struggling a bit"/>
  </r>
  <r>
    <n v="360"/>
    <x v="2"/>
    <x v="3"/>
    <x v="64"/>
    <x v="6"/>
    <n v="4"/>
    <x v="359"/>
    <x v="0"/>
    <s v="Almost done"/>
  </r>
  <r>
    <n v="361"/>
    <x v="2"/>
    <x v="20"/>
    <x v="39"/>
    <x v="25"/>
    <n v="6"/>
    <x v="360"/>
    <x v="2"/>
    <s v="Improved a lot"/>
  </r>
  <r>
    <n v="362"/>
    <x v="2"/>
    <x v="20"/>
    <x v="17"/>
    <x v="2"/>
    <n v="10"/>
    <x v="361"/>
    <x v="0"/>
    <s v="Almost done"/>
  </r>
  <r>
    <n v="363"/>
    <x v="11"/>
    <x v="44"/>
    <x v="40"/>
    <x v="43"/>
    <n v="4"/>
    <x v="362"/>
    <x v="3"/>
    <s v="Doing daily"/>
  </r>
  <r>
    <n v="364"/>
    <x v="17"/>
    <x v="3"/>
    <x v="61"/>
    <x v="21"/>
    <n v="8"/>
    <x v="363"/>
    <x v="3"/>
    <s v="Starting soon"/>
  </r>
  <r>
    <n v="365"/>
    <x v="6"/>
    <x v="15"/>
    <x v="5"/>
    <x v="49"/>
    <n v="6"/>
    <x v="364"/>
    <x v="0"/>
    <s v="Almost done"/>
  </r>
  <r>
    <n v="366"/>
    <x v="16"/>
    <x v="23"/>
    <x v="47"/>
    <x v="39"/>
    <n v="7"/>
    <x v="365"/>
    <x v="0"/>
    <s v="Starting soon"/>
  </r>
  <r>
    <n v="367"/>
    <x v="10"/>
    <x v="17"/>
    <x v="44"/>
    <x v="23"/>
    <n v="10"/>
    <x v="366"/>
    <x v="1"/>
    <s v="Almost done"/>
  </r>
  <r>
    <n v="368"/>
    <x v="13"/>
    <x v="32"/>
    <x v="66"/>
    <x v="51"/>
    <n v="7"/>
    <x v="367"/>
    <x v="0"/>
    <s v="Doing daily"/>
  </r>
  <r>
    <n v="369"/>
    <x v="5"/>
    <x v="40"/>
    <x v="50"/>
    <x v="8"/>
    <n v="7"/>
    <x v="368"/>
    <x v="1"/>
    <s v="Almost done"/>
  </r>
  <r>
    <n v="370"/>
    <x v="14"/>
    <x v="20"/>
    <x v="22"/>
    <x v="51"/>
    <n v="8"/>
    <x v="369"/>
    <x v="1"/>
    <s v="Need more practice"/>
  </r>
  <r>
    <n v="371"/>
    <x v="2"/>
    <x v="28"/>
    <x v="14"/>
    <x v="21"/>
    <n v="4"/>
    <x v="370"/>
    <x v="1"/>
    <s v="Improved a lot"/>
  </r>
  <r>
    <n v="372"/>
    <x v="2"/>
    <x v="15"/>
    <x v="44"/>
    <x v="22"/>
    <n v="1"/>
    <x v="371"/>
    <x v="0"/>
    <s v="Doing daily"/>
  </r>
  <r>
    <n v="373"/>
    <x v="1"/>
    <x v="24"/>
    <x v="8"/>
    <x v="2"/>
    <n v="3"/>
    <x v="372"/>
    <x v="0"/>
    <s v="Starting soon"/>
  </r>
  <r>
    <n v="374"/>
    <x v="1"/>
    <x v="14"/>
    <x v="14"/>
    <x v="43"/>
    <n v="3"/>
    <x v="373"/>
    <x v="1"/>
    <s v="Watching tutorials"/>
  </r>
  <r>
    <n v="375"/>
    <x v="12"/>
    <x v="23"/>
    <x v="48"/>
    <x v="36"/>
    <n v="6"/>
    <x v="374"/>
    <x v="1"/>
    <s v="Starting soon"/>
  </r>
  <r>
    <n v="376"/>
    <x v="12"/>
    <x v="16"/>
    <x v="12"/>
    <x v="34"/>
    <n v="9"/>
    <x v="375"/>
    <x v="3"/>
    <s v="Starting soon"/>
  </r>
  <r>
    <n v="377"/>
    <x v="1"/>
    <x v="1"/>
    <x v="24"/>
    <x v="47"/>
    <n v="10"/>
    <x v="376"/>
    <x v="3"/>
    <s v="Starting soon"/>
  </r>
  <r>
    <n v="378"/>
    <x v="16"/>
    <x v="4"/>
    <x v="15"/>
    <x v="32"/>
    <n v="2"/>
    <x v="377"/>
    <x v="0"/>
    <s v="Doing daily"/>
  </r>
  <r>
    <n v="379"/>
    <x v="14"/>
    <x v="5"/>
    <x v="48"/>
    <x v="19"/>
    <n v="7"/>
    <x v="378"/>
    <x v="1"/>
    <s v="Improved a lot"/>
  </r>
  <r>
    <n v="380"/>
    <x v="9"/>
    <x v="27"/>
    <x v="8"/>
    <x v="36"/>
    <n v="5"/>
    <x v="379"/>
    <x v="2"/>
    <s v="Improved a lot"/>
  </r>
  <r>
    <n v="381"/>
    <x v="1"/>
    <x v="22"/>
    <x v="18"/>
    <x v="6"/>
    <n v="3"/>
    <x v="380"/>
    <x v="2"/>
    <s v="Doing daily"/>
  </r>
  <r>
    <n v="382"/>
    <x v="14"/>
    <x v="26"/>
    <x v="18"/>
    <x v="35"/>
    <n v="2"/>
    <x v="381"/>
    <x v="0"/>
    <s v="Starting soon"/>
  </r>
  <r>
    <n v="383"/>
    <x v="14"/>
    <x v="39"/>
    <x v="21"/>
    <x v="37"/>
    <n v="4"/>
    <x v="382"/>
    <x v="2"/>
    <s v="Watching tutorials"/>
  </r>
  <r>
    <n v="384"/>
    <x v="0"/>
    <x v="10"/>
    <x v="54"/>
    <x v="11"/>
    <n v="1"/>
    <x v="383"/>
    <x v="1"/>
    <s v="Almost done"/>
  </r>
  <r>
    <n v="385"/>
    <x v="7"/>
    <x v="6"/>
    <x v="60"/>
    <x v="10"/>
    <n v="6"/>
    <x v="384"/>
    <x v="2"/>
    <s v="Need more practice"/>
  </r>
  <r>
    <n v="386"/>
    <x v="0"/>
    <x v="41"/>
    <x v="39"/>
    <x v="26"/>
    <n v="6"/>
    <x v="385"/>
    <x v="3"/>
    <s v="Watching tutorials"/>
  </r>
  <r>
    <n v="387"/>
    <x v="10"/>
    <x v="26"/>
    <x v="15"/>
    <x v="50"/>
    <n v="8"/>
    <x v="386"/>
    <x v="0"/>
    <s v="Struggling a bit"/>
  </r>
  <r>
    <n v="388"/>
    <x v="14"/>
    <x v="15"/>
    <x v="36"/>
    <x v="39"/>
    <n v="5"/>
    <x v="387"/>
    <x v="3"/>
    <s v="Starting soon"/>
  </r>
  <r>
    <n v="389"/>
    <x v="14"/>
    <x v="33"/>
    <x v="24"/>
    <x v="52"/>
    <n v="7"/>
    <x v="388"/>
    <x v="1"/>
    <s v="Watching tutorials"/>
  </r>
  <r>
    <n v="390"/>
    <x v="5"/>
    <x v="25"/>
    <x v="40"/>
    <x v="45"/>
    <n v="3"/>
    <x v="389"/>
    <x v="1"/>
    <s v="Improved a lot"/>
  </r>
  <r>
    <n v="391"/>
    <x v="13"/>
    <x v="8"/>
    <x v="17"/>
    <x v="55"/>
    <n v="4"/>
    <x v="390"/>
    <x v="3"/>
    <s v="Need more practice"/>
  </r>
  <r>
    <n v="392"/>
    <x v="6"/>
    <x v="19"/>
    <x v="6"/>
    <x v="7"/>
    <n v="9"/>
    <x v="391"/>
    <x v="1"/>
    <s v="Starting soon"/>
  </r>
  <r>
    <n v="393"/>
    <x v="6"/>
    <x v="12"/>
    <x v="18"/>
    <x v="43"/>
    <n v="3"/>
    <x v="392"/>
    <x v="0"/>
    <s v="Need more practice"/>
  </r>
  <r>
    <n v="394"/>
    <x v="16"/>
    <x v="38"/>
    <x v="3"/>
    <x v="23"/>
    <n v="6"/>
    <x v="393"/>
    <x v="0"/>
    <s v="Almost done"/>
  </r>
  <r>
    <n v="395"/>
    <x v="12"/>
    <x v="9"/>
    <x v="51"/>
    <x v="49"/>
    <n v="4"/>
    <x v="394"/>
    <x v="3"/>
    <s v="Improved a lot"/>
  </r>
  <r>
    <n v="396"/>
    <x v="5"/>
    <x v="31"/>
    <x v="13"/>
    <x v="49"/>
    <n v="6"/>
    <x v="395"/>
    <x v="3"/>
    <s v="Need more practice"/>
  </r>
  <r>
    <n v="397"/>
    <x v="15"/>
    <x v="26"/>
    <x v="1"/>
    <x v="52"/>
    <n v="10"/>
    <x v="396"/>
    <x v="0"/>
    <s v="Struggling a bit"/>
  </r>
  <r>
    <n v="398"/>
    <x v="0"/>
    <x v="21"/>
    <x v="35"/>
    <x v="30"/>
    <n v="2"/>
    <x v="397"/>
    <x v="1"/>
    <s v="Watching tutorials"/>
  </r>
  <r>
    <n v="399"/>
    <x v="14"/>
    <x v="21"/>
    <x v="11"/>
    <x v="30"/>
    <n v="4"/>
    <x v="398"/>
    <x v="3"/>
    <s v="Starting soon"/>
  </r>
  <r>
    <n v="400"/>
    <x v="5"/>
    <x v="30"/>
    <x v="14"/>
    <x v="44"/>
    <n v="1"/>
    <x v="399"/>
    <x v="0"/>
    <s v="Starting soon"/>
  </r>
  <r>
    <n v="401"/>
    <x v="15"/>
    <x v="42"/>
    <x v="28"/>
    <x v="4"/>
    <n v="1"/>
    <x v="400"/>
    <x v="2"/>
    <s v="Need more practice"/>
  </r>
  <r>
    <n v="402"/>
    <x v="13"/>
    <x v="32"/>
    <x v="45"/>
    <x v="48"/>
    <n v="9"/>
    <x v="401"/>
    <x v="2"/>
    <s v="Almost done"/>
  </r>
  <r>
    <n v="403"/>
    <x v="5"/>
    <x v="11"/>
    <x v="51"/>
    <x v="44"/>
    <n v="10"/>
    <x v="402"/>
    <x v="1"/>
    <s v="Almost done"/>
  </r>
  <r>
    <n v="404"/>
    <x v="3"/>
    <x v="38"/>
    <x v="55"/>
    <x v="33"/>
    <n v="2"/>
    <x v="403"/>
    <x v="2"/>
    <s v="Need more practice"/>
  </r>
  <r>
    <n v="405"/>
    <x v="13"/>
    <x v="10"/>
    <x v="4"/>
    <x v="54"/>
    <n v="7"/>
    <x v="404"/>
    <x v="0"/>
    <s v="Improved a lot"/>
  </r>
  <r>
    <n v="406"/>
    <x v="2"/>
    <x v="18"/>
    <x v="9"/>
    <x v="51"/>
    <n v="8"/>
    <x v="405"/>
    <x v="2"/>
    <s v="Need more practice"/>
  </r>
  <r>
    <n v="407"/>
    <x v="2"/>
    <x v="11"/>
    <x v="2"/>
    <x v="49"/>
    <n v="10"/>
    <x v="406"/>
    <x v="1"/>
    <s v="Struggling a bit"/>
  </r>
  <r>
    <n v="408"/>
    <x v="13"/>
    <x v="31"/>
    <x v="3"/>
    <x v="1"/>
    <n v="3"/>
    <x v="407"/>
    <x v="2"/>
    <s v="Need more practice"/>
  </r>
  <r>
    <n v="409"/>
    <x v="11"/>
    <x v="18"/>
    <x v="18"/>
    <x v="48"/>
    <n v="8"/>
    <x v="408"/>
    <x v="2"/>
    <s v="Doing daily"/>
  </r>
  <r>
    <n v="410"/>
    <x v="13"/>
    <x v="26"/>
    <x v="36"/>
    <x v="55"/>
    <n v="7"/>
    <x v="409"/>
    <x v="0"/>
    <s v="Starting soon"/>
  </r>
  <r>
    <n v="411"/>
    <x v="6"/>
    <x v="3"/>
    <x v="51"/>
    <x v="9"/>
    <n v="4"/>
    <x v="410"/>
    <x v="0"/>
    <s v="Need more practice"/>
  </r>
  <r>
    <n v="412"/>
    <x v="5"/>
    <x v="11"/>
    <x v="31"/>
    <x v="36"/>
    <n v="1"/>
    <x v="411"/>
    <x v="2"/>
    <s v="Doing daily"/>
  </r>
  <r>
    <n v="413"/>
    <x v="10"/>
    <x v="21"/>
    <x v="30"/>
    <x v="39"/>
    <n v="1"/>
    <x v="412"/>
    <x v="0"/>
    <s v="Doing daily"/>
  </r>
  <r>
    <n v="414"/>
    <x v="16"/>
    <x v="4"/>
    <x v="6"/>
    <x v="13"/>
    <n v="3"/>
    <x v="413"/>
    <x v="1"/>
    <s v="Need more practice"/>
  </r>
  <r>
    <n v="415"/>
    <x v="13"/>
    <x v="19"/>
    <x v="33"/>
    <x v="22"/>
    <n v="2"/>
    <x v="414"/>
    <x v="2"/>
    <s v="Almost done"/>
  </r>
  <r>
    <n v="416"/>
    <x v="2"/>
    <x v="44"/>
    <x v="54"/>
    <x v="25"/>
    <n v="4"/>
    <x v="415"/>
    <x v="2"/>
    <s v="Improved a lot"/>
  </r>
  <r>
    <n v="417"/>
    <x v="8"/>
    <x v="8"/>
    <x v="9"/>
    <x v="1"/>
    <n v="8"/>
    <x v="416"/>
    <x v="3"/>
    <s v="Starting soon"/>
  </r>
  <r>
    <n v="418"/>
    <x v="10"/>
    <x v="27"/>
    <x v="39"/>
    <x v="47"/>
    <n v="10"/>
    <x v="417"/>
    <x v="0"/>
    <s v="Doing daily"/>
  </r>
  <r>
    <n v="419"/>
    <x v="11"/>
    <x v="31"/>
    <x v="51"/>
    <x v="40"/>
    <n v="4"/>
    <x v="418"/>
    <x v="2"/>
    <s v="Need more practice"/>
  </r>
  <r>
    <n v="420"/>
    <x v="3"/>
    <x v="13"/>
    <x v="61"/>
    <x v="15"/>
    <n v="8"/>
    <x v="419"/>
    <x v="1"/>
    <s v="Starting soon"/>
  </r>
  <r>
    <n v="421"/>
    <x v="1"/>
    <x v="43"/>
    <x v="27"/>
    <x v="2"/>
    <n v="9"/>
    <x v="420"/>
    <x v="1"/>
    <s v="Almost done"/>
  </r>
  <r>
    <n v="422"/>
    <x v="5"/>
    <x v="1"/>
    <x v="51"/>
    <x v="32"/>
    <n v="1"/>
    <x v="421"/>
    <x v="3"/>
    <s v="Struggling a bit"/>
  </r>
  <r>
    <n v="423"/>
    <x v="12"/>
    <x v="37"/>
    <x v="5"/>
    <x v="54"/>
    <n v="1"/>
    <x v="422"/>
    <x v="1"/>
    <s v="Starting soon"/>
  </r>
  <r>
    <n v="424"/>
    <x v="16"/>
    <x v="16"/>
    <x v="28"/>
    <x v="44"/>
    <n v="8"/>
    <x v="423"/>
    <x v="0"/>
    <s v="Starting soon"/>
  </r>
  <r>
    <n v="425"/>
    <x v="6"/>
    <x v="30"/>
    <x v="23"/>
    <x v="39"/>
    <n v="5"/>
    <x v="424"/>
    <x v="2"/>
    <s v="Struggling a bit"/>
  </r>
  <r>
    <n v="426"/>
    <x v="9"/>
    <x v="10"/>
    <x v="20"/>
    <x v="33"/>
    <n v="5"/>
    <x v="425"/>
    <x v="0"/>
    <s v="Starting soon"/>
  </r>
  <r>
    <n v="427"/>
    <x v="11"/>
    <x v="29"/>
    <x v="48"/>
    <x v="2"/>
    <n v="5"/>
    <x v="426"/>
    <x v="0"/>
    <s v="Starting soon"/>
  </r>
  <r>
    <n v="428"/>
    <x v="2"/>
    <x v="36"/>
    <x v="47"/>
    <x v="47"/>
    <n v="2"/>
    <x v="427"/>
    <x v="1"/>
    <s v="Improved a lot"/>
  </r>
  <r>
    <n v="429"/>
    <x v="7"/>
    <x v="25"/>
    <x v="9"/>
    <x v="38"/>
    <n v="1"/>
    <x v="428"/>
    <x v="3"/>
    <s v="Improved a lot"/>
  </r>
  <r>
    <n v="430"/>
    <x v="6"/>
    <x v="9"/>
    <x v="10"/>
    <x v="5"/>
    <n v="8"/>
    <x v="429"/>
    <x v="1"/>
    <s v="Need more practice"/>
  </r>
  <r>
    <n v="431"/>
    <x v="10"/>
    <x v="14"/>
    <x v="60"/>
    <x v="36"/>
    <n v="7"/>
    <x v="430"/>
    <x v="1"/>
    <s v="Watching tutorials"/>
  </r>
  <r>
    <n v="432"/>
    <x v="3"/>
    <x v="21"/>
    <x v="56"/>
    <x v="43"/>
    <n v="8"/>
    <x v="431"/>
    <x v="3"/>
    <s v="Improved a lot"/>
  </r>
  <r>
    <n v="433"/>
    <x v="0"/>
    <x v="35"/>
    <x v="41"/>
    <x v="12"/>
    <n v="1"/>
    <x v="432"/>
    <x v="2"/>
    <s v="Watching tutorials"/>
  </r>
  <r>
    <n v="434"/>
    <x v="13"/>
    <x v="41"/>
    <x v="44"/>
    <x v="33"/>
    <n v="5"/>
    <x v="433"/>
    <x v="3"/>
    <s v="Almost done"/>
  </r>
  <r>
    <n v="435"/>
    <x v="13"/>
    <x v="39"/>
    <x v="39"/>
    <x v="0"/>
    <n v="4"/>
    <x v="434"/>
    <x v="0"/>
    <s v="Watching tutorials"/>
  </r>
  <r>
    <n v="436"/>
    <x v="10"/>
    <x v="4"/>
    <x v="36"/>
    <x v="19"/>
    <n v="6"/>
    <x v="435"/>
    <x v="0"/>
    <s v="Doing daily"/>
  </r>
  <r>
    <n v="437"/>
    <x v="6"/>
    <x v="34"/>
    <x v="9"/>
    <x v="34"/>
    <n v="9"/>
    <x v="436"/>
    <x v="2"/>
    <s v="Starting soon"/>
  </r>
  <r>
    <n v="438"/>
    <x v="1"/>
    <x v="31"/>
    <x v="33"/>
    <x v="50"/>
    <n v="1"/>
    <x v="437"/>
    <x v="3"/>
    <s v="Doing daily"/>
  </r>
  <r>
    <n v="439"/>
    <x v="10"/>
    <x v="2"/>
    <x v="36"/>
    <x v="12"/>
    <n v="9"/>
    <x v="438"/>
    <x v="2"/>
    <s v="Doing daily"/>
  </r>
  <r>
    <n v="440"/>
    <x v="3"/>
    <x v="14"/>
    <x v="48"/>
    <x v="21"/>
    <n v="2"/>
    <x v="439"/>
    <x v="1"/>
    <s v="Almost done"/>
  </r>
  <r>
    <n v="441"/>
    <x v="11"/>
    <x v="19"/>
    <x v="36"/>
    <x v="1"/>
    <n v="7"/>
    <x v="440"/>
    <x v="2"/>
    <s v="Starting soon"/>
  </r>
  <r>
    <n v="442"/>
    <x v="7"/>
    <x v="17"/>
    <x v="51"/>
    <x v="22"/>
    <n v="6"/>
    <x v="441"/>
    <x v="0"/>
    <s v="Need more practice"/>
  </r>
  <r>
    <n v="443"/>
    <x v="11"/>
    <x v="35"/>
    <x v="51"/>
    <x v="47"/>
    <n v="10"/>
    <x v="442"/>
    <x v="1"/>
    <s v="Struggling a bit"/>
  </r>
  <r>
    <n v="444"/>
    <x v="2"/>
    <x v="8"/>
    <x v="19"/>
    <x v="43"/>
    <n v="9"/>
    <x v="443"/>
    <x v="0"/>
    <s v="Need more practice"/>
  </r>
  <r>
    <n v="445"/>
    <x v="4"/>
    <x v="16"/>
    <x v="61"/>
    <x v="16"/>
    <n v="3"/>
    <x v="444"/>
    <x v="0"/>
    <s v="Need more practice"/>
  </r>
  <r>
    <n v="446"/>
    <x v="1"/>
    <x v="39"/>
    <x v="59"/>
    <x v="31"/>
    <n v="1"/>
    <x v="445"/>
    <x v="2"/>
    <s v="Struggling a bit"/>
  </r>
  <r>
    <n v="447"/>
    <x v="12"/>
    <x v="10"/>
    <x v="21"/>
    <x v="17"/>
    <n v="10"/>
    <x v="446"/>
    <x v="2"/>
    <s v="Watching tutorials"/>
  </r>
  <r>
    <n v="448"/>
    <x v="14"/>
    <x v="20"/>
    <x v="60"/>
    <x v="43"/>
    <n v="5"/>
    <x v="447"/>
    <x v="0"/>
    <s v="Watching tutorials"/>
  </r>
  <r>
    <n v="449"/>
    <x v="10"/>
    <x v="13"/>
    <x v="69"/>
    <x v="16"/>
    <n v="7"/>
    <x v="448"/>
    <x v="0"/>
    <s v="Need more practice"/>
  </r>
  <r>
    <n v="450"/>
    <x v="13"/>
    <x v="6"/>
    <x v="33"/>
    <x v="14"/>
    <n v="5"/>
    <x v="449"/>
    <x v="3"/>
    <s v="Need more practice"/>
  </r>
  <r>
    <n v="451"/>
    <x v="10"/>
    <x v="3"/>
    <x v="12"/>
    <x v="28"/>
    <n v="6"/>
    <x v="450"/>
    <x v="3"/>
    <s v="Improved a lot"/>
  </r>
  <r>
    <n v="452"/>
    <x v="13"/>
    <x v="14"/>
    <x v="51"/>
    <x v="30"/>
    <n v="10"/>
    <x v="451"/>
    <x v="2"/>
    <s v="Improved a lot"/>
  </r>
  <r>
    <n v="453"/>
    <x v="4"/>
    <x v="25"/>
    <x v="57"/>
    <x v="35"/>
    <n v="1"/>
    <x v="452"/>
    <x v="2"/>
    <s v="Doing daily"/>
  </r>
  <r>
    <n v="454"/>
    <x v="11"/>
    <x v="1"/>
    <x v="3"/>
    <x v="4"/>
    <n v="4"/>
    <x v="453"/>
    <x v="1"/>
    <s v="Almost done"/>
  </r>
  <r>
    <n v="455"/>
    <x v="14"/>
    <x v="8"/>
    <x v="20"/>
    <x v="6"/>
    <n v="8"/>
    <x v="454"/>
    <x v="1"/>
    <s v="Struggling a bit"/>
  </r>
  <r>
    <n v="456"/>
    <x v="10"/>
    <x v="25"/>
    <x v="53"/>
    <x v="11"/>
    <n v="9"/>
    <x v="455"/>
    <x v="2"/>
    <s v="Need more practice"/>
  </r>
  <r>
    <n v="457"/>
    <x v="9"/>
    <x v="12"/>
    <x v="43"/>
    <x v="0"/>
    <n v="2"/>
    <x v="456"/>
    <x v="1"/>
    <s v="Need more practice"/>
  </r>
  <r>
    <n v="458"/>
    <x v="1"/>
    <x v="4"/>
    <x v="51"/>
    <x v="55"/>
    <n v="4"/>
    <x v="457"/>
    <x v="1"/>
    <s v="Improved a lot"/>
  </r>
  <r>
    <n v="459"/>
    <x v="7"/>
    <x v="24"/>
    <x v="2"/>
    <x v="6"/>
    <n v="5"/>
    <x v="458"/>
    <x v="0"/>
    <s v="Watching tutorials"/>
  </r>
  <r>
    <n v="460"/>
    <x v="1"/>
    <x v="27"/>
    <x v="16"/>
    <x v="17"/>
    <n v="1"/>
    <x v="459"/>
    <x v="3"/>
    <s v="Need more practice"/>
  </r>
  <r>
    <n v="461"/>
    <x v="5"/>
    <x v="35"/>
    <x v="21"/>
    <x v="14"/>
    <n v="2"/>
    <x v="460"/>
    <x v="3"/>
    <s v="Struggling a bit"/>
  </r>
  <r>
    <n v="462"/>
    <x v="10"/>
    <x v="6"/>
    <x v="40"/>
    <x v="34"/>
    <n v="5"/>
    <x v="461"/>
    <x v="2"/>
    <s v="Need more practice"/>
  </r>
  <r>
    <n v="463"/>
    <x v="3"/>
    <x v="19"/>
    <x v="19"/>
    <x v="40"/>
    <n v="3"/>
    <x v="462"/>
    <x v="2"/>
    <s v="Watching tutorials"/>
  </r>
  <r>
    <n v="464"/>
    <x v="10"/>
    <x v="41"/>
    <x v="30"/>
    <x v="21"/>
    <n v="8"/>
    <x v="463"/>
    <x v="3"/>
    <s v="Almost done"/>
  </r>
  <r>
    <n v="465"/>
    <x v="13"/>
    <x v="2"/>
    <x v="41"/>
    <x v="47"/>
    <n v="3"/>
    <x v="464"/>
    <x v="2"/>
    <s v="Need more practice"/>
  </r>
  <r>
    <n v="466"/>
    <x v="6"/>
    <x v="21"/>
    <x v="53"/>
    <x v="54"/>
    <n v="6"/>
    <x v="465"/>
    <x v="2"/>
    <s v="Need more practice"/>
  </r>
  <r>
    <n v="467"/>
    <x v="17"/>
    <x v="7"/>
    <x v="18"/>
    <x v="24"/>
    <n v="1"/>
    <x v="466"/>
    <x v="1"/>
    <s v="Need more practice"/>
  </r>
  <r>
    <n v="468"/>
    <x v="5"/>
    <x v="14"/>
    <x v="5"/>
    <x v="13"/>
    <n v="3"/>
    <x v="467"/>
    <x v="3"/>
    <s v="Watching tutorials"/>
  </r>
  <r>
    <n v="469"/>
    <x v="13"/>
    <x v="10"/>
    <x v="38"/>
    <x v="10"/>
    <n v="10"/>
    <x v="468"/>
    <x v="1"/>
    <s v="Need more practice"/>
  </r>
  <r>
    <n v="470"/>
    <x v="15"/>
    <x v="6"/>
    <x v="19"/>
    <x v="42"/>
    <n v="5"/>
    <x v="469"/>
    <x v="2"/>
    <s v="Need more practice"/>
  </r>
  <r>
    <n v="471"/>
    <x v="5"/>
    <x v="37"/>
    <x v="20"/>
    <x v="25"/>
    <n v="10"/>
    <x v="470"/>
    <x v="3"/>
    <s v="Struggling a bit"/>
  </r>
  <r>
    <n v="472"/>
    <x v="16"/>
    <x v="34"/>
    <x v="43"/>
    <x v="33"/>
    <n v="6"/>
    <x v="471"/>
    <x v="2"/>
    <s v="Improved a lot"/>
  </r>
  <r>
    <n v="473"/>
    <x v="14"/>
    <x v="39"/>
    <x v="58"/>
    <x v="9"/>
    <n v="7"/>
    <x v="472"/>
    <x v="3"/>
    <s v="Improved a lot"/>
  </r>
  <r>
    <n v="474"/>
    <x v="4"/>
    <x v="14"/>
    <x v="52"/>
    <x v="3"/>
    <n v="10"/>
    <x v="473"/>
    <x v="1"/>
    <s v="Watching tutorials"/>
  </r>
  <r>
    <n v="475"/>
    <x v="6"/>
    <x v="35"/>
    <x v="14"/>
    <x v="1"/>
    <n v="1"/>
    <x v="474"/>
    <x v="3"/>
    <s v="Watching tutorials"/>
  </r>
  <r>
    <n v="476"/>
    <x v="9"/>
    <x v="2"/>
    <x v="47"/>
    <x v="36"/>
    <n v="7"/>
    <x v="475"/>
    <x v="0"/>
    <s v="Almost done"/>
  </r>
  <r>
    <n v="477"/>
    <x v="6"/>
    <x v="41"/>
    <x v="18"/>
    <x v="35"/>
    <n v="8"/>
    <x v="476"/>
    <x v="3"/>
    <s v="Watching tutorials"/>
  </r>
  <r>
    <n v="478"/>
    <x v="14"/>
    <x v="30"/>
    <x v="56"/>
    <x v="30"/>
    <n v="6"/>
    <x v="477"/>
    <x v="2"/>
    <s v="Almost done"/>
  </r>
  <r>
    <n v="479"/>
    <x v="4"/>
    <x v="2"/>
    <x v="8"/>
    <x v="45"/>
    <n v="6"/>
    <x v="478"/>
    <x v="3"/>
    <s v="Need more practice"/>
  </r>
  <r>
    <n v="480"/>
    <x v="15"/>
    <x v="28"/>
    <x v="15"/>
    <x v="45"/>
    <n v="9"/>
    <x v="479"/>
    <x v="1"/>
    <s v="Watching tutorials"/>
  </r>
  <r>
    <n v="481"/>
    <x v="6"/>
    <x v="34"/>
    <x v="43"/>
    <x v="16"/>
    <n v="5"/>
    <x v="480"/>
    <x v="3"/>
    <s v="Almost done"/>
  </r>
  <r>
    <n v="482"/>
    <x v="8"/>
    <x v="15"/>
    <x v="60"/>
    <x v="55"/>
    <n v="3"/>
    <x v="481"/>
    <x v="3"/>
    <s v="Struggling a bit"/>
  </r>
  <r>
    <n v="483"/>
    <x v="9"/>
    <x v="42"/>
    <x v="3"/>
    <x v="25"/>
    <n v="7"/>
    <x v="482"/>
    <x v="3"/>
    <s v="Need more practice"/>
  </r>
  <r>
    <n v="484"/>
    <x v="15"/>
    <x v="20"/>
    <x v="6"/>
    <x v="35"/>
    <n v="8"/>
    <x v="483"/>
    <x v="2"/>
    <s v="Watching tutorials"/>
  </r>
  <r>
    <n v="485"/>
    <x v="6"/>
    <x v="29"/>
    <x v="39"/>
    <x v="45"/>
    <n v="5"/>
    <x v="484"/>
    <x v="0"/>
    <s v="Struggling a bit"/>
  </r>
  <r>
    <n v="486"/>
    <x v="5"/>
    <x v="30"/>
    <x v="5"/>
    <x v="33"/>
    <n v="6"/>
    <x v="485"/>
    <x v="3"/>
    <s v="Starting soon"/>
  </r>
  <r>
    <n v="487"/>
    <x v="15"/>
    <x v="19"/>
    <x v="9"/>
    <x v="39"/>
    <n v="9"/>
    <x v="486"/>
    <x v="2"/>
    <s v="Almost done"/>
  </r>
  <r>
    <n v="488"/>
    <x v="2"/>
    <x v="42"/>
    <x v="69"/>
    <x v="15"/>
    <n v="9"/>
    <x v="487"/>
    <x v="2"/>
    <s v="Doing daily"/>
  </r>
  <r>
    <n v="489"/>
    <x v="4"/>
    <x v="18"/>
    <x v="23"/>
    <x v="52"/>
    <n v="5"/>
    <x v="488"/>
    <x v="2"/>
    <s v="Starting soon"/>
  </r>
  <r>
    <n v="490"/>
    <x v="4"/>
    <x v="28"/>
    <x v="48"/>
    <x v="16"/>
    <n v="3"/>
    <x v="489"/>
    <x v="0"/>
    <s v="Starting soon"/>
  </r>
  <r>
    <n v="491"/>
    <x v="9"/>
    <x v="8"/>
    <x v="4"/>
    <x v="5"/>
    <n v="5"/>
    <x v="490"/>
    <x v="3"/>
    <s v="Need more practice"/>
  </r>
  <r>
    <n v="492"/>
    <x v="1"/>
    <x v="35"/>
    <x v="0"/>
    <x v="0"/>
    <n v="9"/>
    <x v="491"/>
    <x v="3"/>
    <s v="Starting soon"/>
  </r>
  <r>
    <n v="493"/>
    <x v="10"/>
    <x v="39"/>
    <x v="17"/>
    <x v="21"/>
    <n v="4"/>
    <x v="492"/>
    <x v="2"/>
    <s v="Starting soon"/>
  </r>
  <r>
    <n v="494"/>
    <x v="2"/>
    <x v="18"/>
    <x v="9"/>
    <x v="4"/>
    <n v="6"/>
    <x v="493"/>
    <x v="2"/>
    <s v="Doing daily"/>
  </r>
  <r>
    <n v="495"/>
    <x v="3"/>
    <x v="24"/>
    <x v="48"/>
    <x v="4"/>
    <n v="3"/>
    <x v="494"/>
    <x v="3"/>
    <s v="Struggling a bit"/>
  </r>
  <r>
    <n v="496"/>
    <x v="17"/>
    <x v="3"/>
    <x v="37"/>
    <x v="40"/>
    <n v="7"/>
    <x v="495"/>
    <x v="2"/>
    <s v="Doing daily"/>
  </r>
  <r>
    <n v="497"/>
    <x v="13"/>
    <x v="36"/>
    <x v="1"/>
    <x v="24"/>
    <n v="1"/>
    <x v="496"/>
    <x v="3"/>
    <s v="Watching tutorials"/>
  </r>
  <r>
    <n v="498"/>
    <x v="7"/>
    <x v="19"/>
    <x v="39"/>
    <x v="31"/>
    <n v="3"/>
    <x v="497"/>
    <x v="0"/>
    <s v="Improved a lot"/>
  </r>
  <r>
    <n v="499"/>
    <x v="6"/>
    <x v="24"/>
    <x v="34"/>
    <x v="1"/>
    <n v="6"/>
    <x v="498"/>
    <x v="0"/>
    <s v="Improved a lot"/>
  </r>
  <r>
    <n v="500"/>
    <x v="14"/>
    <x v="44"/>
    <x v="19"/>
    <x v="14"/>
    <n v="10"/>
    <x v="499"/>
    <x v="0"/>
    <s v="Need more pract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4646D-2AD8-4D74-9AA7-EF34B00715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3">
    <pivotField showAll="0"/>
    <pivotField dataField="1" showAll="0">
      <items count="19">
        <item x="5"/>
        <item x="10"/>
        <item x="3"/>
        <item x="17"/>
        <item x="4"/>
        <item x="1"/>
        <item x="13"/>
        <item x="11"/>
        <item x="14"/>
        <item x="2"/>
        <item x="7"/>
        <item x="16"/>
        <item x="6"/>
        <item x="12"/>
        <item x="15"/>
        <item x="8"/>
        <item x="0"/>
        <item x="9"/>
        <item t="default"/>
      </items>
    </pivotField>
    <pivotField numFmtId="164" showAll="0">
      <items count="46">
        <item x="21"/>
        <item x="32"/>
        <item x="8"/>
        <item x="10"/>
        <item x="39"/>
        <item x="37"/>
        <item x="25"/>
        <item x="44"/>
        <item x="41"/>
        <item x="34"/>
        <item x="5"/>
        <item x="29"/>
        <item x="18"/>
        <item x="6"/>
        <item x="12"/>
        <item x="22"/>
        <item x="20"/>
        <item x="19"/>
        <item x="30"/>
        <item x="15"/>
        <item x="14"/>
        <item x="27"/>
        <item x="23"/>
        <item x="31"/>
        <item x="28"/>
        <item x="26"/>
        <item x="2"/>
        <item x="17"/>
        <item x="24"/>
        <item x="35"/>
        <item x="36"/>
        <item x="11"/>
        <item x="0"/>
        <item x="7"/>
        <item x="4"/>
        <item x="1"/>
        <item x="43"/>
        <item x="40"/>
        <item x="13"/>
        <item x="38"/>
        <item x="33"/>
        <item x="42"/>
        <item x="3"/>
        <item x="9"/>
        <item x="16"/>
        <item t="default"/>
      </items>
    </pivotField>
    <pivotField numFmtId="164" showAll="0">
      <items count="71">
        <item x="63"/>
        <item x="32"/>
        <item x="66"/>
        <item x="38"/>
        <item x="20"/>
        <item x="45"/>
        <item x="57"/>
        <item x="59"/>
        <item x="58"/>
        <item x="54"/>
        <item x="35"/>
        <item x="30"/>
        <item x="40"/>
        <item x="11"/>
        <item x="4"/>
        <item x="19"/>
        <item x="53"/>
        <item x="17"/>
        <item x="9"/>
        <item x="60"/>
        <item x="5"/>
        <item x="43"/>
        <item x="7"/>
        <item x="56"/>
        <item x="39"/>
        <item x="33"/>
        <item x="44"/>
        <item x="34"/>
        <item x="48"/>
        <item x="62"/>
        <item x="22"/>
        <item x="21"/>
        <item x="52"/>
        <item x="18"/>
        <item x="13"/>
        <item x="23"/>
        <item x="1"/>
        <item x="47"/>
        <item x="36"/>
        <item x="25"/>
        <item x="37"/>
        <item x="6"/>
        <item x="8"/>
        <item x="51"/>
        <item x="41"/>
        <item x="27"/>
        <item x="14"/>
        <item x="16"/>
        <item x="15"/>
        <item x="0"/>
        <item x="29"/>
        <item x="3"/>
        <item x="2"/>
        <item x="28"/>
        <item x="24"/>
        <item x="46"/>
        <item x="10"/>
        <item x="65"/>
        <item x="31"/>
        <item x="26"/>
        <item x="64"/>
        <item x="61"/>
        <item x="67"/>
        <item x="12"/>
        <item x="55"/>
        <item x="50"/>
        <item x="69"/>
        <item x="49"/>
        <item x="42"/>
        <item x="68"/>
        <item t="default"/>
      </items>
    </pivotField>
    <pivotField showAll="0">
      <items count="57">
        <item x="43"/>
        <item x="55"/>
        <item x="23"/>
        <item x="30"/>
        <item x="42"/>
        <item x="6"/>
        <item h="1" x="31"/>
        <item x="5"/>
        <item x="22"/>
        <item x="17"/>
        <item x="0"/>
        <item x="12"/>
        <item x="10"/>
        <item x="51"/>
        <item x="24"/>
        <item x="49"/>
        <item x="37"/>
        <item x="28"/>
        <item x="2"/>
        <item x="40"/>
        <item x="33"/>
        <item x="1"/>
        <item x="52"/>
        <item x="4"/>
        <item x="11"/>
        <item x="39"/>
        <item x="41"/>
        <item x="45"/>
        <item x="44"/>
        <item x="32"/>
        <item x="38"/>
        <item x="36"/>
        <item x="15"/>
        <item x="16"/>
        <item x="26"/>
        <item x="48"/>
        <item x="35"/>
        <item x="21"/>
        <item x="25"/>
        <item x="3"/>
        <item x="13"/>
        <item x="14"/>
        <item x="29"/>
        <item x="27"/>
        <item x="8"/>
        <item x="47"/>
        <item x="18"/>
        <item x="9"/>
        <item x="34"/>
        <item x="7"/>
        <item x="46"/>
        <item x="53"/>
        <item x="20"/>
        <item x="19"/>
        <item x="50"/>
        <item x="54"/>
        <item t="default"/>
      </items>
    </pivotField>
    <pivotField showAll="0"/>
    <pivotField showAll="0">
      <items count="5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axis="axisRow"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v="2"/>
    </i>
    <i t="grand">
      <x/>
    </i>
  </rowItems>
  <colItems count="1">
    <i/>
  </colItems>
  <dataFields count="1">
    <dataField name="Count of Skill Name" fld="1" subtotal="count" baseField="7"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A9DE5-B43A-42AC-B7D3-890F325F32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 firstHeaderRow="1" firstDataRow="1" firstDataCol="1"/>
  <pivotFields count="13">
    <pivotField showAll="0"/>
    <pivotField axis="axisRow" showAll="0">
      <items count="19">
        <item x="5"/>
        <item x="10"/>
        <item x="3"/>
        <item x="17"/>
        <item x="4"/>
        <item x="1"/>
        <item x="13"/>
        <item x="11"/>
        <item x="14"/>
        <item x="2"/>
        <item x="7"/>
        <item x="16"/>
        <item x="6"/>
        <item x="12"/>
        <item x="15"/>
        <item x="8"/>
        <item x="0"/>
        <item x="9"/>
        <item t="default"/>
      </items>
    </pivotField>
    <pivotField numFmtId="164" showAll="0">
      <items count="46">
        <item x="21"/>
        <item x="32"/>
        <item x="8"/>
        <item x="10"/>
        <item x="39"/>
        <item x="37"/>
        <item x="25"/>
        <item x="44"/>
        <item x="41"/>
        <item x="34"/>
        <item x="5"/>
        <item x="29"/>
        <item x="18"/>
        <item x="6"/>
        <item x="12"/>
        <item x="22"/>
        <item x="20"/>
        <item x="19"/>
        <item x="30"/>
        <item x="15"/>
        <item x="14"/>
        <item x="27"/>
        <item x="23"/>
        <item x="31"/>
        <item x="28"/>
        <item x="26"/>
        <item x="2"/>
        <item x="17"/>
        <item x="24"/>
        <item x="35"/>
        <item x="36"/>
        <item x="11"/>
        <item x="0"/>
        <item x="7"/>
        <item x="4"/>
        <item x="1"/>
        <item x="43"/>
        <item x="40"/>
        <item x="13"/>
        <item x="38"/>
        <item x="33"/>
        <item x="42"/>
        <item x="3"/>
        <item x="9"/>
        <item x="16"/>
        <item t="default"/>
      </items>
    </pivotField>
    <pivotField numFmtId="164" showAll="0">
      <items count="71">
        <item x="63"/>
        <item x="32"/>
        <item x="66"/>
        <item x="38"/>
        <item x="20"/>
        <item x="45"/>
        <item x="57"/>
        <item x="59"/>
        <item x="58"/>
        <item x="54"/>
        <item x="35"/>
        <item x="30"/>
        <item x="40"/>
        <item x="11"/>
        <item x="4"/>
        <item x="19"/>
        <item x="53"/>
        <item x="17"/>
        <item x="9"/>
        <item x="60"/>
        <item x="5"/>
        <item x="43"/>
        <item x="7"/>
        <item x="56"/>
        <item x="39"/>
        <item x="33"/>
        <item x="44"/>
        <item x="34"/>
        <item x="48"/>
        <item x="62"/>
        <item x="22"/>
        <item x="21"/>
        <item x="52"/>
        <item x="18"/>
        <item x="13"/>
        <item x="23"/>
        <item x="1"/>
        <item x="47"/>
        <item x="36"/>
        <item x="25"/>
        <item x="37"/>
        <item x="6"/>
        <item x="8"/>
        <item x="51"/>
        <item x="41"/>
        <item x="27"/>
        <item x="14"/>
        <item x="16"/>
        <item x="15"/>
        <item x="0"/>
        <item x="29"/>
        <item x="3"/>
        <item x="2"/>
        <item x="28"/>
        <item x="24"/>
        <item x="46"/>
        <item x="10"/>
        <item x="65"/>
        <item x="31"/>
        <item x="26"/>
        <item x="64"/>
        <item x="61"/>
        <item x="67"/>
        <item x="12"/>
        <item x="55"/>
        <item x="50"/>
        <item x="69"/>
        <item x="49"/>
        <item x="42"/>
        <item x="68"/>
        <item t="default"/>
      </items>
    </pivotField>
    <pivotField dataField="1" showAll="0">
      <items count="57">
        <item x="43"/>
        <item x="55"/>
        <item x="23"/>
        <item x="30"/>
        <item x="42"/>
        <item x="6"/>
        <item h="1" x="31"/>
        <item x="5"/>
        <item x="22"/>
        <item x="17"/>
        <item x="0"/>
        <item x="12"/>
        <item x="10"/>
        <item x="51"/>
        <item x="24"/>
        <item x="49"/>
        <item x="37"/>
        <item x="28"/>
        <item x="2"/>
        <item x="40"/>
        <item x="33"/>
        <item x="1"/>
        <item x="52"/>
        <item x="4"/>
        <item x="11"/>
        <item x="39"/>
        <item x="41"/>
        <item x="45"/>
        <item x="44"/>
        <item x="32"/>
        <item x="38"/>
        <item x="36"/>
        <item x="15"/>
        <item x="16"/>
        <item x="26"/>
        <item x="48"/>
        <item x="35"/>
        <item x="21"/>
        <item x="25"/>
        <item x="3"/>
        <item x="13"/>
        <item x="14"/>
        <item x="29"/>
        <item x="27"/>
        <item x="8"/>
        <item x="47"/>
        <item x="18"/>
        <item x="9"/>
        <item x="34"/>
        <item x="7"/>
        <item x="46"/>
        <item x="53"/>
        <item x="20"/>
        <item x="19"/>
        <item x="50"/>
        <item x="54"/>
        <item t="default"/>
      </items>
    </pivotField>
    <pivotField showAll="0"/>
    <pivotField showAll="0">
      <items count="5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8"/>
    </i>
    <i t="grand">
      <x/>
    </i>
  </rowItems>
  <colItems count="1">
    <i/>
  </colItems>
  <dataFields count="1">
    <dataField name="Sum of Time Spent (hrs)" fld="4" baseField="1"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213D5C-7A01-4E9D-893D-6D3ECBB87C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B4" firstHeaderRow="1" firstDataRow="1" firstDataCol="1"/>
  <pivotFields count="13">
    <pivotField showAll="0"/>
    <pivotField axis="axisRow" showAll="0">
      <items count="19">
        <item x="5"/>
        <item x="10"/>
        <item x="3"/>
        <item x="17"/>
        <item x="4"/>
        <item x="1"/>
        <item x="13"/>
        <item x="11"/>
        <item x="14"/>
        <item x="2"/>
        <item x="7"/>
        <item x="16"/>
        <item x="6"/>
        <item x="12"/>
        <item x="15"/>
        <item x="8"/>
        <item x="0"/>
        <item x="9"/>
        <item t="default"/>
      </items>
    </pivotField>
    <pivotField numFmtId="164" showAll="0">
      <items count="46">
        <item x="21"/>
        <item x="32"/>
        <item x="8"/>
        <item x="10"/>
        <item x="39"/>
        <item x="37"/>
        <item x="25"/>
        <item x="44"/>
        <item x="41"/>
        <item x="34"/>
        <item x="5"/>
        <item x="29"/>
        <item x="18"/>
        <item x="6"/>
        <item x="12"/>
        <item x="22"/>
        <item x="20"/>
        <item x="19"/>
        <item x="30"/>
        <item x="15"/>
        <item x="14"/>
        <item x="27"/>
        <item x="23"/>
        <item x="31"/>
        <item x="28"/>
        <item x="26"/>
        <item x="2"/>
        <item x="17"/>
        <item x="24"/>
        <item x="35"/>
        <item x="36"/>
        <item x="11"/>
        <item x="0"/>
        <item x="7"/>
        <item x="4"/>
        <item x="1"/>
        <item x="43"/>
        <item x="40"/>
        <item x="13"/>
        <item x="38"/>
        <item x="33"/>
        <item x="42"/>
        <item x="3"/>
        <item x="9"/>
        <item x="16"/>
        <item t="default"/>
      </items>
    </pivotField>
    <pivotField numFmtId="164" showAll="0">
      <items count="71">
        <item x="63"/>
        <item x="32"/>
        <item x="66"/>
        <item x="38"/>
        <item x="20"/>
        <item x="45"/>
        <item x="57"/>
        <item x="59"/>
        <item x="58"/>
        <item x="54"/>
        <item x="35"/>
        <item x="30"/>
        <item x="40"/>
        <item x="11"/>
        <item x="4"/>
        <item x="19"/>
        <item x="53"/>
        <item x="17"/>
        <item x="9"/>
        <item x="60"/>
        <item x="5"/>
        <item x="43"/>
        <item x="7"/>
        <item x="56"/>
        <item x="39"/>
        <item x="33"/>
        <item x="44"/>
        <item x="34"/>
        <item x="48"/>
        <item x="62"/>
        <item x="22"/>
        <item x="21"/>
        <item x="52"/>
        <item x="18"/>
        <item x="13"/>
        <item x="23"/>
        <item x="1"/>
        <item x="47"/>
        <item x="36"/>
        <item x="25"/>
        <item x="37"/>
        <item x="6"/>
        <item x="8"/>
        <item x="51"/>
        <item x="41"/>
        <item x="27"/>
        <item x="14"/>
        <item x="16"/>
        <item x="15"/>
        <item x="0"/>
        <item x="29"/>
        <item x="3"/>
        <item x="2"/>
        <item x="28"/>
        <item x="24"/>
        <item x="46"/>
        <item x="10"/>
        <item x="65"/>
        <item x="31"/>
        <item x="26"/>
        <item x="64"/>
        <item x="61"/>
        <item x="67"/>
        <item x="12"/>
        <item x="55"/>
        <item x="50"/>
        <item x="69"/>
        <item x="49"/>
        <item x="42"/>
        <item x="68"/>
        <item t="default"/>
      </items>
    </pivotField>
    <pivotField showAll="0">
      <items count="57">
        <item x="43"/>
        <item x="55"/>
        <item x="23"/>
        <item x="30"/>
        <item x="42"/>
        <item x="6"/>
        <item h="1" x="31"/>
        <item x="5"/>
        <item x="22"/>
        <item x="17"/>
        <item x="0"/>
        <item x="12"/>
        <item x="10"/>
        <item x="51"/>
        <item x="24"/>
        <item x="49"/>
        <item x="37"/>
        <item x="28"/>
        <item x="2"/>
        <item x="40"/>
        <item x="33"/>
        <item x="1"/>
        <item x="52"/>
        <item x="4"/>
        <item x="11"/>
        <item x="39"/>
        <item x="41"/>
        <item x="45"/>
        <item x="44"/>
        <item x="32"/>
        <item x="38"/>
        <item x="36"/>
        <item x="15"/>
        <item x="16"/>
        <item x="26"/>
        <item x="48"/>
        <item x="35"/>
        <item x="21"/>
        <item x="25"/>
        <item x="3"/>
        <item x="13"/>
        <item x="14"/>
        <item x="29"/>
        <item x="27"/>
        <item x="8"/>
        <item x="47"/>
        <item x="18"/>
        <item x="9"/>
        <item x="34"/>
        <item x="7"/>
        <item x="46"/>
        <item x="53"/>
        <item x="20"/>
        <item x="19"/>
        <item x="50"/>
        <item x="54"/>
        <item t="default"/>
      </items>
    </pivotField>
    <pivotField showAll="0"/>
    <pivotField dataField="1" showAll="0">
      <items count="5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8"/>
    </i>
    <i t="grand">
      <x/>
    </i>
  </rowItems>
  <colItems count="1">
    <i/>
  </colItems>
  <dataFields count="1">
    <dataField name="Average of Confidence %" fld="6" subtotal="average" baseField="1" baseItem="0"/>
  </dataFields>
  <formats count="1">
    <format dxfId="1">
      <pivotArea collapsedLevelsAreSubtotals="1" fieldPosition="0">
        <references count="1">
          <reference field="1" count="1">
            <x v="0"/>
          </reference>
        </references>
      </pivotArea>
    </format>
  </formats>
  <chartFormats count="5">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8E494F-5998-4237-AC36-D77DFCBE0C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pivotFields count="13">
    <pivotField showAll="0"/>
    <pivotField dataField="1" showAll="0">
      <items count="19">
        <item x="5"/>
        <item x="10"/>
        <item x="3"/>
        <item x="17"/>
        <item x="4"/>
        <item x="1"/>
        <item x="13"/>
        <item x="11"/>
        <item x="14"/>
        <item x="2"/>
        <item x="7"/>
        <item x="16"/>
        <item x="6"/>
        <item x="12"/>
        <item x="15"/>
        <item x="8"/>
        <item x="0"/>
        <item x="9"/>
        <item t="default"/>
      </items>
    </pivotField>
    <pivotField numFmtId="164" showAll="0">
      <items count="46">
        <item x="21"/>
        <item x="32"/>
        <item x="8"/>
        <item x="10"/>
        <item x="39"/>
        <item x="37"/>
        <item x="25"/>
        <item x="44"/>
        <item x="41"/>
        <item x="34"/>
        <item x="5"/>
        <item x="29"/>
        <item x="18"/>
        <item x="6"/>
        <item x="12"/>
        <item x="22"/>
        <item x="20"/>
        <item x="19"/>
        <item x="30"/>
        <item x="15"/>
        <item x="14"/>
        <item x="27"/>
        <item x="23"/>
        <item x="31"/>
        <item x="28"/>
        <item x="26"/>
        <item x="2"/>
        <item x="17"/>
        <item x="24"/>
        <item x="35"/>
        <item x="36"/>
        <item x="11"/>
        <item x="0"/>
        <item x="7"/>
        <item x="4"/>
        <item x="1"/>
        <item x="43"/>
        <item x="40"/>
        <item x="13"/>
        <item x="38"/>
        <item x="33"/>
        <item x="42"/>
        <item x="3"/>
        <item x="9"/>
        <item x="16"/>
        <item t="default"/>
      </items>
    </pivotField>
    <pivotField numFmtId="164" showAll="0">
      <items count="71">
        <item x="63"/>
        <item x="32"/>
        <item x="66"/>
        <item x="38"/>
        <item x="20"/>
        <item x="45"/>
        <item x="57"/>
        <item x="59"/>
        <item x="58"/>
        <item x="54"/>
        <item x="35"/>
        <item x="30"/>
        <item x="40"/>
        <item x="11"/>
        <item x="4"/>
        <item x="19"/>
        <item x="53"/>
        <item x="17"/>
        <item x="9"/>
        <item x="60"/>
        <item x="5"/>
        <item x="43"/>
        <item x="7"/>
        <item x="56"/>
        <item x="39"/>
        <item x="33"/>
        <item x="44"/>
        <item x="34"/>
        <item x="48"/>
        <item x="62"/>
        <item x="22"/>
        <item x="21"/>
        <item x="52"/>
        <item x="18"/>
        <item x="13"/>
        <item x="23"/>
        <item x="1"/>
        <item x="47"/>
        <item x="36"/>
        <item x="25"/>
        <item x="37"/>
        <item x="6"/>
        <item x="8"/>
        <item x="51"/>
        <item x="41"/>
        <item x="27"/>
        <item x="14"/>
        <item x="16"/>
        <item x="15"/>
        <item x="0"/>
        <item x="29"/>
        <item x="3"/>
        <item x="2"/>
        <item x="28"/>
        <item x="24"/>
        <item x="46"/>
        <item x="10"/>
        <item x="65"/>
        <item x="31"/>
        <item x="26"/>
        <item x="64"/>
        <item x="61"/>
        <item x="67"/>
        <item x="12"/>
        <item x="55"/>
        <item x="50"/>
        <item x="69"/>
        <item x="49"/>
        <item x="42"/>
        <item x="68"/>
        <item t="default"/>
      </items>
    </pivotField>
    <pivotField showAll="0">
      <items count="57">
        <item x="43"/>
        <item x="55"/>
        <item x="23"/>
        <item x="30"/>
        <item x="42"/>
        <item x="6"/>
        <item h="1" x="31"/>
        <item x="5"/>
        <item x="22"/>
        <item x="17"/>
        <item x="0"/>
        <item x="12"/>
        <item x="10"/>
        <item x="51"/>
        <item x="24"/>
        <item x="49"/>
        <item x="37"/>
        <item x="28"/>
        <item x="2"/>
        <item x="40"/>
        <item x="33"/>
        <item x="1"/>
        <item x="52"/>
        <item x="4"/>
        <item x="11"/>
        <item x="39"/>
        <item x="41"/>
        <item x="45"/>
        <item x="44"/>
        <item x="32"/>
        <item x="38"/>
        <item x="36"/>
        <item x="15"/>
        <item x="16"/>
        <item x="26"/>
        <item x="48"/>
        <item x="35"/>
        <item x="21"/>
        <item x="25"/>
        <item x="3"/>
        <item x="13"/>
        <item x="14"/>
        <item x="29"/>
        <item x="27"/>
        <item x="8"/>
        <item x="47"/>
        <item x="18"/>
        <item x="9"/>
        <item x="34"/>
        <item x="7"/>
        <item x="46"/>
        <item x="53"/>
        <item x="20"/>
        <item x="19"/>
        <item x="50"/>
        <item x="54"/>
        <item t="default"/>
      </items>
    </pivotField>
    <pivotField showAll="0"/>
    <pivotField showAll="0">
      <items count="5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5">
        <item x="1"/>
        <item x="2"/>
        <item x="3"/>
        <item x="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2">
    <i>
      <x v="6"/>
    </i>
    <i t="grand">
      <x/>
    </i>
  </rowItems>
  <colItems count="1">
    <i/>
  </colItems>
  <dataFields count="1">
    <dataField name="Count of Skill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C3E3A-8E9F-48F9-AB5A-D91E4A08A2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3" firstHeaderRow="1" firstDataRow="1" firstDataCol="1"/>
  <pivotFields count="13">
    <pivotField showAll="0"/>
    <pivotField showAll="0">
      <items count="19">
        <item x="5"/>
        <item x="10"/>
        <item x="3"/>
        <item x="17"/>
        <item x="4"/>
        <item x="1"/>
        <item x="13"/>
        <item x="11"/>
        <item x="14"/>
        <item x="2"/>
        <item x="7"/>
        <item x="16"/>
        <item x="6"/>
        <item x="12"/>
        <item x="15"/>
        <item x="8"/>
        <item x="0"/>
        <item x="9"/>
        <item t="default"/>
      </items>
    </pivotField>
    <pivotField axis="axisRow" numFmtId="164" showAll="0">
      <items count="46">
        <item h="1" x="21"/>
        <item h="1" x="32"/>
        <item h="1" x="8"/>
        <item h="1" x="10"/>
        <item h="1" x="39"/>
        <item h="1" x="37"/>
        <item h="1" x="25"/>
        <item h="1" x="44"/>
        <item h="1" x="41"/>
        <item h="1" x="34"/>
        <item h="1" x="5"/>
        <item h="1" x="29"/>
        <item h="1" x="18"/>
        <item h="1" x="6"/>
        <item h="1" x="12"/>
        <item h="1" x="22"/>
        <item h="1" x="20"/>
        <item h="1" x="19"/>
        <item h="1" x="30"/>
        <item h="1" x="15"/>
        <item h="1" x="14"/>
        <item h="1" x="27"/>
        <item h="1" x="23"/>
        <item h="1" x="31"/>
        <item h="1" x="28"/>
        <item h="1" x="26"/>
        <item h="1" x="2"/>
        <item h="1" x="17"/>
        <item h="1" x="24"/>
        <item h="1" x="35"/>
        <item h="1" x="36"/>
        <item h="1" x="11"/>
        <item h="1" x="0"/>
        <item h="1" x="7"/>
        <item h="1" x="4"/>
        <item h="1" x="1"/>
        <item h="1" x="43"/>
        <item x="40"/>
        <item x="13"/>
        <item x="38"/>
        <item x="33"/>
        <item x="42"/>
        <item x="3"/>
        <item x="9"/>
        <item x="16"/>
        <item t="default"/>
      </items>
    </pivotField>
    <pivotField numFmtId="164" showAll="0">
      <items count="71">
        <item x="63"/>
        <item x="32"/>
        <item x="66"/>
        <item x="38"/>
        <item x="20"/>
        <item x="45"/>
        <item x="57"/>
        <item x="59"/>
        <item x="58"/>
        <item x="54"/>
        <item x="35"/>
        <item x="30"/>
        <item x="40"/>
        <item x="11"/>
        <item x="4"/>
        <item x="19"/>
        <item x="53"/>
        <item x="17"/>
        <item x="9"/>
        <item x="60"/>
        <item x="5"/>
        <item x="43"/>
        <item x="7"/>
        <item x="56"/>
        <item x="39"/>
        <item x="33"/>
        <item x="44"/>
        <item x="34"/>
        <item x="48"/>
        <item x="62"/>
        <item x="22"/>
        <item x="21"/>
        <item x="52"/>
        <item x="18"/>
        <item x="13"/>
        <item x="23"/>
        <item x="1"/>
        <item x="47"/>
        <item x="36"/>
        <item x="25"/>
        <item x="37"/>
        <item x="6"/>
        <item x="8"/>
        <item x="51"/>
        <item x="41"/>
        <item x="27"/>
        <item x="14"/>
        <item x="16"/>
        <item x="15"/>
        <item x="0"/>
        <item x="29"/>
        <item x="3"/>
        <item x="2"/>
        <item x="28"/>
        <item x="24"/>
        <item x="46"/>
        <item x="10"/>
        <item x="65"/>
        <item x="31"/>
        <item x="26"/>
        <item x="64"/>
        <item x="61"/>
        <item x="67"/>
        <item x="12"/>
        <item x="55"/>
        <item x="50"/>
        <item x="69"/>
        <item x="49"/>
        <item x="42"/>
        <item x="68"/>
        <item t="default"/>
      </items>
    </pivotField>
    <pivotField showAll="0">
      <items count="57">
        <item x="43"/>
        <item x="55"/>
        <item x="23"/>
        <item x="30"/>
        <item x="42"/>
        <item x="6"/>
        <item h="1" x="31"/>
        <item x="5"/>
        <item x="22"/>
        <item x="17"/>
        <item x="0"/>
        <item x="12"/>
        <item x="10"/>
        <item x="51"/>
        <item x="24"/>
        <item x="49"/>
        <item x="37"/>
        <item x="28"/>
        <item x="2"/>
        <item x="40"/>
        <item x="33"/>
        <item x="1"/>
        <item x="52"/>
        <item x="4"/>
        <item x="11"/>
        <item x="39"/>
        <item x="41"/>
        <item x="45"/>
        <item x="44"/>
        <item x="32"/>
        <item x="38"/>
        <item x="36"/>
        <item x="15"/>
        <item x="16"/>
        <item x="26"/>
        <item x="48"/>
        <item x="35"/>
        <item x="21"/>
        <item x="25"/>
        <item x="3"/>
        <item x="13"/>
        <item x="14"/>
        <item x="29"/>
        <item x="27"/>
        <item x="8"/>
        <item x="47"/>
        <item x="18"/>
        <item x="9"/>
        <item x="34"/>
        <item x="7"/>
        <item x="46"/>
        <item x="53"/>
        <item x="20"/>
        <item x="19"/>
        <item x="50"/>
        <item x="54"/>
        <item t="default"/>
      </items>
    </pivotField>
    <pivotField showAll="0"/>
    <pivotField dataField="1" showAll="0">
      <items count="5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5">
        <item x="1"/>
        <item x="2"/>
        <item x="3"/>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
    <i t="grand">
      <x/>
    </i>
  </rowItems>
  <colItems count="1">
    <i/>
  </colItems>
  <dataFields count="1">
    <dataField name="Average of Confidence %" fld="6" subtotal="average" baseField="2"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1C2A398-7CAC-46A8-AC2C-4286EB1A1DEA}" sourceName="Status">
  <pivotTables>
    <pivotTable tabId="18" name="PivotTable2"/>
    <pivotTable tabId="15" name="PivotTable4"/>
    <pivotTable tabId="3" name="PivotTable1"/>
    <pivotTable tabId="16" name="PivotTable3"/>
    <pivotTable tabId="13" name="PivotTable1"/>
  </pivotTables>
  <data>
    <tabular pivotCacheId="864071979">
      <items count="4">
        <i x="3" s="1"/>
        <i x="1" s="1" nd="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idence" xr10:uid="{5894BC95-90F4-4B0C-904F-F3EA363C8D12}" sourceName="Confidence %">
  <pivotTables>
    <pivotTable tabId="18" name="PivotTable2"/>
    <pivotTable tabId="15" name="PivotTable4"/>
    <pivotTable tabId="3" name="PivotTable1"/>
    <pivotTable tabId="16" name="PivotTable3"/>
    <pivotTable tabId="13" name="PivotTable1"/>
  </pivotTables>
  <data>
    <tabular pivotCacheId="864071979">
      <items count="500">
        <i x="0"/>
        <i x="1"/>
        <i x="2"/>
        <i x="3"/>
        <i x="4"/>
        <i x="5"/>
        <i x="6"/>
        <i x="7"/>
        <i x="8"/>
        <i x="9"/>
        <i x="10"/>
        <i x="11"/>
        <i x="12"/>
        <i x="13"/>
        <i x="14"/>
        <i x="15"/>
        <i x="16"/>
        <i x="17"/>
        <i x="18"/>
        <i x="19"/>
        <i x="20"/>
        <i x="21"/>
        <i x="22"/>
        <i x="23"/>
        <i x="24" s="1"/>
        <i x="25"/>
        <i x="26"/>
        <i x="27"/>
        <i x="28"/>
        <i x="29"/>
        <i x="30"/>
        <i x="31"/>
        <i x="32"/>
        <i x="33"/>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8"/>
        <i x="499"/>
        <i x="34" nd="1"/>
        <i x="98" nd="1"/>
        <i x="331" nd="1"/>
        <i x="445" nd="1"/>
        <i x="49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_Name" xr10:uid="{F07FF4BB-1F0F-4C95-9955-954F5EB6BF89}" sourceName="Skill Name">
  <pivotTables>
    <pivotTable tabId="18" name="PivotTable2"/>
    <pivotTable tabId="15" name="PivotTable4"/>
    <pivotTable tabId="3" name="PivotTable1"/>
    <pivotTable tabId="16" name="PivotTable3"/>
    <pivotTable tabId="13" name="PivotTable1"/>
  </pivotTables>
  <data>
    <tabular pivotCacheId="864071979">
      <items count="18">
        <i x="14" s="1"/>
        <i x="5" s="1" nd="1"/>
        <i x="10" s="1" nd="1"/>
        <i x="3" s="1" nd="1"/>
        <i x="17" s="1" nd="1"/>
        <i x="4" s="1" nd="1"/>
        <i x="1" s="1" nd="1"/>
        <i x="13" s="1" nd="1"/>
        <i x="11" s="1" nd="1"/>
        <i x="2" s="1" nd="1"/>
        <i x="7" s="1" nd="1"/>
        <i x="16" s="1" nd="1"/>
        <i x="6" s="1" nd="1"/>
        <i x="12" s="1" nd="1"/>
        <i x="15" s="1" nd="1"/>
        <i x="8" s="1" nd="1"/>
        <i x="0" s="1" nd="1"/>
        <i x="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pent__hrs" xr10:uid="{AA32180B-2768-4900-A1AB-016BD0B07CDC}" sourceName="Time Spent (hrs)">
  <pivotTables>
    <pivotTable tabId="18" name="PivotTable2"/>
    <pivotTable tabId="15" name="PivotTable4"/>
    <pivotTable tabId="3" name="PivotTable1"/>
    <pivotTable tabId="16" name="PivotTable3"/>
    <pivotTable tabId="13" name="PivotTable1"/>
  </pivotTables>
  <data>
    <tabular pivotCacheId="864071979">
      <items count="56">
        <i x="21" s="1"/>
        <i x="43" s="1" nd="1"/>
        <i x="55" s="1" nd="1"/>
        <i x="23" s="1" nd="1"/>
        <i x="30" s="1" nd="1"/>
        <i x="42" s="1" nd="1"/>
        <i x="6" s="1" nd="1"/>
        <i x="31" nd="1"/>
        <i x="5" s="1" nd="1"/>
        <i x="22" s="1" nd="1"/>
        <i x="17" s="1" nd="1"/>
        <i x="0" s="1" nd="1"/>
        <i x="12" s="1" nd="1"/>
        <i x="10" s="1" nd="1"/>
        <i x="51" s="1" nd="1"/>
        <i x="24" s="1" nd="1"/>
        <i x="49" s="1" nd="1"/>
        <i x="37" s="1" nd="1"/>
        <i x="28" s="1" nd="1"/>
        <i x="2" s="1" nd="1"/>
        <i x="40" s="1" nd="1"/>
        <i x="33" s="1" nd="1"/>
        <i x="1" s="1" nd="1"/>
        <i x="52" s="1" nd="1"/>
        <i x="4" s="1" nd="1"/>
        <i x="11" s="1" nd="1"/>
        <i x="39" s="1" nd="1"/>
        <i x="41" s="1" nd="1"/>
        <i x="45" s="1" nd="1"/>
        <i x="44" s="1" nd="1"/>
        <i x="32" s="1" nd="1"/>
        <i x="38" s="1" nd="1"/>
        <i x="36" s="1" nd="1"/>
        <i x="15" s="1" nd="1"/>
        <i x="16" s="1" nd="1"/>
        <i x="26" s="1" nd="1"/>
        <i x="48" s="1" nd="1"/>
        <i x="35" s="1" nd="1"/>
        <i x="25" s="1" nd="1"/>
        <i x="3" s="1" nd="1"/>
        <i x="13" s="1" nd="1"/>
        <i x="14" s="1" nd="1"/>
        <i x="29" s="1" nd="1"/>
        <i x="27" s="1" nd="1"/>
        <i x="8" s="1" nd="1"/>
        <i x="47" s="1" nd="1"/>
        <i x="18" s="1" nd="1"/>
        <i x="9" s="1" nd="1"/>
        <i x="34" s="1" nd="1"/>
        <i x="7" s="1" nd="1"/>
        <i x="46" s="1" nd="1"/>
        <i x="53" s="1" nd="1"/>
        <i x="20" s="1" nd="1"/>
        <i x="19" s="1" nd="1"/>
        <i x="50" s="1" nd="1"/>
        <i x="5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CC24E2B9-CE78-4005-BAAA-9BEC25CC7A33}" cache="Slicer_Status" caption="Status" rowHeight="247650"/>
  <slicer name="Confidence %" xr10:uid="{316D091E-31A3-4C36-9ACD-2FC47E906C8B}" cache="Slicer_Confidence" caption="Confidence %" rowHeight="247650"/>
  <slicer name="Skill Name" xr10:uid="{44D8EE56-3FCA-483D-BA54-E54C48ACF044}" cache="Slicer_Skill_Name" caption="Skill Name" rowHeight="247650"/>
  <slicer name="Time Spent (hrs)" xr10:uid="{AB89015C-C880-427D-AB4B-0A22E204615E}" cache="Slicer_Time_Spent__hrs" caption="Time Spent (hr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3F2720-1304-4AB8-A54C-343FD2E38027}" name="Table24" displayName="Table24" ref="A2:B7" totalsRowShown="0" headerRowDxfId="11" dataDxfId="9" headerRowBorderDxfId="10" tableBorderDxfId="8" totalsRowBorderDxfId="7">
  <autoFilter ref="A2:B7" xr:uid="{A63F2720-1304-4AB8-A54C-343FD2E38027}"/>
  <tableColumns count="2">
    <tableColumn id="1" xr3:uid="{C03F9B1D-479B-4120-961D-DE717C26704D}" name="Learning Insights Overview" dataDxfId="6"/>
    <tableColumn id="2" xr3:uid="{BBA267C1-098B-41E8-9471-FA392C7F1B4C}" name="Value" dataDxfId="5"/>
  </tableColumns>
  <tableStyleInfo name="TableStyleMedium2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E4B452-7080-4CF2-8544-C930291A7E32}" name="Table42" displayName="Table42" ref="A2:B4" totalsRowShown="0" dataDxfId="4">
  <autoFilter ref="A2:B4" xr:uid="{69E4B452-7080-4CF2-8544-C930291A7E32}"/>
  <tableColumns count="2">
    <tableColumn id="1" xr3:uid="{160525A1-FCCF-4696-8AD5-51A554B251F3}" name="Skill Status" dataDxfId="3"/>
    <tableColumn id="2" xr3:uid="{77BA7C4A-8189-4B49-81AF-ED8F0CDE82F2}" name="Cou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9FD8-4CD9-4EE0-8673-7072EC0B8C8F}">
  <dimension ref="A1:K8"/>
  <sheetViews>
    <sheetView tabSelected="1" zoomScale="61" zoomScaleNormal="95" workbookViewId="0">
      <selection activeCell="R14" sqref="R14"/>
    </sheetView>
  </sheetViews>
  <sheetFormatPr defaultRowHeight="14.4" x14ac:dyDescent="0.3"/>
  <cols>
    <col min="1" max="1" width="34.44140625" style="16" customWidth="1"/>
    <col min="2" max="2" width="26" style="16" customWidth="1"/>
    <col min="3" max="3" width="1.5546875" style="16" customWidth="1"/>
    <col min="4" max="4" width="12.44140625" style="16" bestFit="1" customWidth="1"/>
    <col min="5" max="5" width="17" style="16" customWidth="1"/>
    <col min="6" max="6" width="2.77734375" style="16" customWidth="1"/>
    <col min="7" max="7" width="15.6640625" style="16" bestFit="1" customWidth="1"/>
    <col min="8" max="8" width="26" style="16" customWidth="1"/>
    <col min="9" max="9" width="6" style="16" customWidth="1"/>
    <col min="10" max="10" width="12.88671875" style="16" bestFit="1" customWidth="1"/>
    <col min="11" max="11" width="21.44140625" style="16" bestFit="1" customWidth="1"/>
    <col min="12" max="12" width="11" style="16" customWidth="1"/>
    <col min="13" max="13" width="12.44140625" style="16" bestFit="1" customWidth="1"/>
    <col min="14" max="14" width="33.6640625" style="16" customWidth="1"/>
    <col min="15" max="16384" width="8.88671875" style="16"/>
  </cols>
  <sheetData>
    <row r="1" spans="1:11" ht="49.8" customHeight="1" x14ac:dyDescent="0.9">
      <c r="D1" s="47" t="s">
        <v>53</v>
      </c>
      <c r="E1" s="17"/>
      <c r="F1" s="17"/>
      <c r="H1" s="17"/>
      <c r="I1" s="17"/>
    </row>
    <row r="2" spans="1:11" ht="112.2" customHeight="1" x14ac:dyDescent="0.3"/>
    <row r="3" spans="1:11" ht="18" x14ac:dyDescent="0.35">
      <c r="A3" s="27"/>
      <c r="B3" s="27"/>
      <c r="D3" s="30"/>
      <c r="E3" s="30"/>
      <c r="K3" s="32"/>
    </row>
    <row r="4" spans="1:11" ht="15.6" x14ac:dyDescent="0.3">
      <c r="A4" s="28"/>
      <c r="B4" s="28"/>
      <c r="D4" s="31"/>
      <c r="E4" s="31"/>
      <c r="J4" s="33"/>
      <c r="K4" s="33"/>
    </row>
    <row r="5" spans="1:11" ht="15.6" x14ac:dyDescent="0.3">
      <c r="A5" s="28"/>
      <c r="B5" s="28"/>
      <c r="D5" s="31"/>
      <c r="E5" s="31"/>
      <c r="J5" s="31"/>
      <c r="K5" s="34"/>
    </row>
    <row r="6" spans="1:11" ht="15.6" x14ac:dyDescent="0.3">
      <c r="A6" s="28"/>
      <c r="B6" s="29"/>
      <c r="J6" s="33"/>
      <c r="K6" s="33"/>
    </row>
    <row r="7" spans="1:11" ht="15.6" x14ac:dyDescent="0.3">
      <c r="A7" s="28"/>
      <c r="B7" s="28"/>
      <c r="J7" s="31"/>
      <c r="K7" s="31"/>
    </row>
    <row r="8" spans="1:11" ht="15.6" x14ac:dyDescent="0.3">
      <c r="A8" s="28"/>
      <c r="B8" s="28"/>
      <c r="J8" s="33"/>
      <c r="K8" s="33"/>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538F-140C-48A1-BDF2-8F112F26B50D}">
  <dimension ref="A1:I501"/>
  <sheetViews>
    <sheetView topLeftCell="K1" workbookViewId="0">
      <selection activeCell="I1" sqref="I1:I1048576"/>
    </sheetView>
  </sheetViews>
  <sheetFormatPr defaultRowHeight="14.4" x14ac:dyDescent="0.3"/>
  <cols>
    <col min="1" max="1" width="5" bestFit="1" customWidth="1"/>
    <col min="2" max="2" width="15.77734375" bestFit="1" customWidth="1"/>
    <col min="3" max="4" width="10.33203125" bestFit="1" customWidth="1"/>
    <col min="5" max="5" width="14.6640625" bestFit="1" customWidth="1"/>
    <col min="6" max="6" width="17.44140625" bestFit="1" customWidth="1"/>
    <col min="7" max="7" width="12.33203125" bestFit="1" customWidth="1"/>
    <col min="8" max="8" width="10" bestFit="1" customWidth="1"/>
    <col min="9" max="9" width="17" bestFit="1" customWidth="1"/>
  </cols>
  <sheetData>
    <row r="1" spans="1:9" x14ac:dyDescent="0.3">
      <c r="A1" s="1" t="s">
        <v>0</v>
      </c>
      <c r="B1" s="1" t="s">
        <v>1</v>
      </c>
      <c r="C1" s="1" t="s">
        <v>2</v>
      </c>
      <c r="D1" s="1" t="s">
        <v>3</v>
      </c>
      <c r="E1" s="1" t="s">
        <v>4</v>
      </c>
      <c r="F1" s="1" t="s">
        <v>5</v>
      </c>
      <c r="G1" s="1" t="s">
        <v>6</v>
      </c>
      <c r="H1" s="1" t="s">
        <v>7</v>
      </c>
      <c r="I1" s="1" t="s">
        <v>8</v>
      </c>
    </row>
    <row r="2" spans="1:9" x14ac:dyDescent="0.3">
      <c r="A2">
        <v>1</v>
      </c>
      <c r="B2" t="s">
        <v>9</v>
      </c>
      <c r="C2" s="2">
        <v>45834</v>
      </c>
      <c r="D2" s="2">
        <v>45868</v>
      </c>
      <c r="E2">
        <v>15</v>
      </c>
      <c r="F2">
        <v>1</v>
      </c>
      <c r="G2" s="5">
        <v>0.1</v>
      </c>
      <c r="H2" t="s">
        <v>10</v>
      </c>
      <c r="I2" t="s">
        <v>11</v>
      </c>
    </row>
    <row r="3" spans="1:9" x14ac:dyDescent="0.3">
      <c r="A3">
        <v>2</v>
      </c>
      <c r="B3" t="s">
        <v>12</v>
      </c>
      <c r="C3" s="2">
        <v>45837</v>
      </c>
      <c r="D3" s="2">
        <v>45855</v>
      </c>
      <c r="E3">
        <v>26</v>
      </c>
      <c r="F3">
        <v>5</v>
      </c>
      <c r="G3" s="5">
        <v>1.1000000000000001</v>
      </c>
      <c r="H3" t="s">
        <v>13</v>
      </c>
      <c r="I3" t="s">
        <v>14</v>
      </c>
    </row>
    <row r="4" spans="1:9" x14ac:dyDescent="0.3">
      <c r="A4">
        <v>3</v>
      </c>
      <c r="B4" t="s">
        <v>15</v>
      </c>
      <c r="C4" s="2">
        <v>45828</v>
      </c>
      <c r="D4" s="2">
        <v>45871</v>
      </c>
      <c r="E4">
        <v>23</v>
      </c>
      <c r="F4">
        <v>8</v>
      </c>
      <c r="G4" s="5">
        <v>2.1</v>
      </c>
      <c r="H4" t="s">
        <v>16</v>
      </c>
      <c r="I4" t="s">
        <v>14</v>
      </c>
    </row>
    <row r="5" spans="1:9" x14ac:dyDescent="0.3">
      <c r="A5">
        <v>4</v>
      </c>
      <c r="B5" t="s">
        <v>17</v>
      </c>
      <c r="C5" s="2">
        <v>45844</v>
      </c>
      <c r="D5" s="2">
        <v>45871</v>
      </c>
      <c r="E5">
        <v>44</v>
      </c>
      <c r="F5">
        <v>3</v>
      </c>
      <c r="G5" s="5">
        <v>3.1</v>
      </c>
      <c r="H5" t="s">
        <v>16</v>
      </c>
      <c r="I5" t="s">
        <v>14</v>
      </c>
    </row>
    <row r="6" spans="1:9" x14ac:dyDescent="0.3">
      <c r="A6">
        <v>5</v>
      </c>
      <c r="B6" t="s">
        <v>18</v>
      </c>
      <c r="C6" s="2">
        <v>45836</v>
      </c>
      <c r="D6" s="2">
        <v>45870</v>
      </c>
      <c r="E6">
        <v>28</v>
      </c>
      <c r="F6">
        <v>7</v>
      </c>
      <c r="G6" s="5">
        <v>4.0999999999999996</v>
      </c>
      <c r="H6" t="s">
        <v>10</v>
      </c>
      <c r="I6" t="s">
        <v>19</v>
      </c>
    </row>
    <row r="7" spans="1:9" x14ac:dyDescent="0.3">
      <c r="A7">
        <v>6</v>
      </c>
      <c r="B7" t="s">
        <v>20</v>
      </c>
      <c r="C7" s="2">
        <v>45812</v>
      </c>
      <c r="D7" s="2">
        <v>45833</v>
      </c>
      <c r="E7">
        <v>12</v>
      </c>
      <c r="F7">
        <v>8</v>
      </c>
      <c r="G7" s="5">
        <v>5.0999999999999996</v>
      </c>
      <c r="H7" t="s">
        <v>10</v>
      </c>
      <c r="I7" t="s">
        <v>21</v>
      </c>
    </row>
    <row r="8" spans="1:9" x14ac:dyDescent="0.3">
      <c r="A8">
        <v>7</v>
      </c>
      <c r="B8" t="s">
        <v>22</v>
      </c>
      <c r="C8" s="2">
        <v>45815</v>
      </c>
      <c r="D8" s="2">
        <v>45839</v>
      </c>
      <c r="E8">
        <v>10</v>
      </c>
      <c r="F8">
        <v>3</v>
      </c>
      <c r="G8" s="5">
        <v>6.1</v>
      </c>
      <c r="H8" t="s">
        <v>10</v>
      </c>
      <c r="I8" t="s">
        <v>14</v>
      </c>
    </row>
    <row r="9" spans="1:9" x14ac:dyDescent="0.3">
      <c r="A9">
        <v>8</v>
      </c>
      <c r="B9" t="s">
        <v>23</v>
      </c>
      <c r="C9" s="2">
        <v>45835</v>
      </c>
      <c r="D9" s="2">
        <v>45860</v>
      </c>
      <c r="E9">
        <v>54</v>
      </c>
      <c r="F9">
        <v>3</v>
      </c>
      <c r="G9" s="5">
        <v>7.1</v>
      </c>
      <c r="H9" t="s">
        <v>10</v>
      </c>
      <c r="I9" t="s">
        <v>24</v>
      </c>
    </row>
    <row r="10" spans="1:9" x14ac:dyDescent="0.3">
      <c r="A10">
        <v>9</v>
      </c>
      <c r="B10" t="s">
        <v>9</v>
      </c>
      <c r="C10" s="2">
        <v>45804</v>
      </c>
      <c r="D10" s="2">
        <v>45841</v>
      </c>
      <c r="E10">
        <v>12</v>
      </c>
      <c r="F10">
        <v>10</v>
      </c>
      <c r="G10" s="5">
        <v>8.1</v>
      </c>
      <c r="H10" t="s">
        <v>16</v>
      </c>
      <c r="I10" t="s">
        <v>11</v>
      </c>
    </row>
    <row r="11" spans="1:9" x14ac:dyDescent="0.3">
      <c r="A11">
        <v>10</v>
      </c>
      <c r="B11" t="s">
        <v>12</v>
      </c>
      <c r="C11" s="2">
        <v>45845</v>
      </c>
      <c r="D11" s="2">
        <v>45861</v>
      </c>
      <c r="E11">
        <v>49</v>
      </c>
      <c r="F11">
        <v>10</v>
      </c>
      <c r="G11" s="5">
        <v>9.1</v>
      </c>
      <c r="H11" t="s">
        <v>25</v>
      </c>
      <c r="I11" t="s">
        <v>19</v>
      </c>
    </row>
    <row r="12" spans="1:9" x14ac:dyDescent="0.3">
      <c r="A12">
        <v>11</v>
      </c>
      <c r="B12" t="s">
        <v>12</v>
      </c>
      <c r="C12" s="2">
        <v>45805</v>
      </c>
      <c r="D12" s="2">
        <v>45837</v>
      </c>
      <c r="E12">
        <v>52</v>
      </c>
      <c r="F12">
        <v>10</v>
      </c>
      <c r="G12" s="5">
        <v>10.1</v>
      </c>
      <c r="H12" t="s">
        <v>25</v>
      </c>
      <c r="I12" t="s">
        <v>26</v>
      </c>
    </row>
    <row r="13" spans="1:9" x14ac:dyDescent="0.3">
      <c r="A13">
        <v>12</v>
      </c>
      <c r="B13" t="s">
        <v>27</v>
      </c>
      <c r="C13" s="2">
        <v>45833</v>
      </c>
      <c r="D13" s="2">
        <v>45861</v>
      </c>
      <c r="E13">
        <v>17</v>
      </c>
      <c r="F13">
        <v>8</v>
      </c>
      <c r="G13" s="5">
        <v>11.1</v>
      </c>
      <c r="H13" t="s">
        <v>16</v>
      </c>
      <c r="I13" t="s">
        <v>24</v>
      </c>
    </row>
    <row r="14" spans="1:9" x14ac:dyDescent="0.3">
      <c r="A14">
        <v>13</v>
      </c>
      <c r="B14" t="s">
        <v>20</v>
      </c>
      <c r="C14" s="2">
        <v>45835</v>
      </c>
      <c r="D14" s="2">
        <v>45875</v>
      </c>
      <c r="E14">
        <v>29</v>
      </c>
      <c r="F14">
        <v>9</v>
      </c>
      <c r="G14" s="5">
        <v>12.1</v>
      </c>
      <c r="H14" t="s">
        <v>10</v>
      </c>
      <c r="I14" t="s">
        <v>11</v>
      </c>
    </row>
    <row r="15" spans="1:9" x14ac:dyDescent="0.3">
      <c r="A15">
        <v>14</v>
      </c>
      <c r="B15" t="s">
        <v>28</v>
      </c>
      <c r="C15" s="2">
        <v>45816</v>
      </c>
      <c r="D15" s="2">
        <v>45832</v>
      </c>
      <c r="E15">
        <v>16</v>
      </c>
      <c r="F15">
        <v>4</v>
      </c>
      <c r="G15" s="5">
        <v>13.1</v>
      </c>
      <c r="H15" t="s">
        <v>10</v>
      </c>
      <c r="I15" t="s">
        <v>26</v>
      </c>
    </row>
    <row r="16" spans="1:9" x14ac:dyDescent="0.3">
      <c r="A16">
        <v>15</v>
      </c>
      <c r="B16" t="s">
        <v>29</v>
      </c>
      <c r="C16" s="2">
        <v>45840</v>
      </c>
      <c r="D16" s="2">
        <v>45882</v>
      </c>
      <c r="E16">
        <v>45</v>
      </c>
      <c r="F16">
        <v>4</v>
      </c>
      <c r="G16" s="5">
        <v>14.1</v>
      </c>
      <c r="H16" t="s">
        <v>16</v>
      </c>
      <c r="I16" t="s">
        <v>24</v>
      </c>
    </row>
    <row r="17" spans="1:9" x14ac:dyDescent="0.3">
      <c r="A17">
        <v>16</v>
      </c>
      <c r="B17" t="s">
        <v>30</v>
      </c>
      <c r="C17" s="2">
        <v>45816</v>
      </c>
      <c r="D17" s="2">
        <v>45860</v>
      </c>
      <c r="E17">
        <v>15</v>
      </c>
      <c r="F17">
        <v>1</v>
      </c>
      <c r="G17" s="5">
        <v>15.1</v>
      </c>
      <c r="H17" t="s">
        <v>25</v>
      </c>
      <c r="I17" t="s">
        <v>14</v>
      </c>
    </row>
    <row r="18" spans="1:9" x14ac:dyDescent="0.3">
      <c r="A18">
        <v>17</v>
      </c>
      <c r="B18" t="s">
        <v>28</v>
      </c>
      <c r="C18" s="2">
        <v>45836</v>
      </c>
      <c r="D18" s="2">
        <v>45860</v>
      </c>
      <c r="E18">
        <v>46</v>
      </c>
      <c r="F18">
        <v>6</v>
      </c>
      <c r="G18" s="5">
        <v>16.100000000000001</v>
      </c>
      <c r="H18" t="s">
        <v>10</v>
      </c>
      <c r="I18" t="s">
        <v>19</v>
      </c>
    </row>
    <row r="19" spans="1:9" x14ac:dyDescent="0.3">
      <c r="A19">
        <v>18</v>
      </c>
      <c r="B19" t="s">
        <v>31</v>
      </c>
      <c r="C19" s="2">
        <v>45822</v>
      </c>
      <c r="D19" s="2">
        <v>45853</v>
      </c>
      <c r="E19">
        <v>37</v>
      </c>
      <c r="F19">
        <v>4</v>
      </c>
      <c r="G19" s="5">
        <v>17.100000000000001</v>
      </c>
      <c r="H19" t="s">
        <v>25</v>
      </c>
      <c r="I19" t="s">
        <v>19</v>
      </c>
    </row>
    <row r="20" spans="1:9" x14ac:dyDescent="0.3">
      <c r="A20">
        <v>19</v>
      </c>
      <c r="B20" t="s">
        <v>31</v>
      </c>
      <c r="C20" s="2">
        <v>45821</v>
      </c>
      <c r="D20" s="2">
        <v>45865</v>
      </c>
      <c r="E20">
        <v>52</v>
      </c>
      <c r="F20">
        <v>3</v>
      </c>
      <c r="G20" s="5">
        <v>18.100000000000001</v>
      </c>
      <c r="H20" t="s">
        <v>25</v>
      </c>
      <c r="I20" t="s">
        <v>11</v>
      </c>
    </row>
    <row r="21" spans="1:9" x14ac:dyDescent="0.3">
      <c r="A21">
        <v>20</v>
      </c>
      <c r="B21" t="s">
        <v>17</v>
      </c>
      <c r="C21" s="2">
        <v>45846</v>
      </c>
      <c r="D21" s="2">
        <v>45867</v>
      </c>
      <c r="E21">
        <v>38</v>
      </c>
      <c r="F21">
        <v>9</v>
      </c>
      <c r="G21" s="5">
        <v>19.100000000000001</v>
      </c>
      <c r="H21" t="s">
        <v>13</v>
      </c>
      <c r="I21" t="s">
        <v>24</v>
      </c>
    </row>
    <row r="22" spans="1:9" x14ac:dyDescent="0.3">
      <c r="A22">
        <v>21</v>
      </c>
      <c r="B22" t="s">
        <v>31</v>
      </c>
      <c r="C22" s="2">
        <v>45829</v>
      </c>
      <c r="D22" s="2">
        <v>45866</v>
      </c>
      <c r="E22">
        <v>14</v>
      </c>
      <c r="F22">
        <v>6</v>
      </c>
      <c r="G22" s="5">
        <v>20.100000000000001</v>
      </c>
      <c r="H22" t="s">
        <v>25</v>
      </c>
      <c r="I22" t="s">
        <v>14</v>
      </c>
    </row>
    <row r="23" spans="1:9" x14ac:dyDescent="0.3">
      <c r="A23">
        <v>22</v>
      </c>
      <c r="B23" t="s">
        <v>23</v>
      </c>
      <c r="C23" s="2">
        <v>45837</v>
      </c>
      <c r="D23" s="2">
        <v>45882</v>
      </c>
      <c r="E23">
        <v>51</v>
      </c>
      <c r="F23">
        <v>5</v>
      </c>
      <c r="G23" s="5">
        <v>21.1</v>
      </c>
      <c r="H23" t="s">
        <v>10</v>
      </c>
      <c r="I23" t="s">
        <v>19</v>
      </c>
    </row>
    <row r="24" spans="1:9" x14ac:dyDescent="0.3">
      <c r="A24">
        <v>23</v>
      </c>
      <c r="B24" t="s">
        <v>32</v>
      </c>
      <c r="C24" s="2">
        <v>45846</v>
      </c>
      <c r="D24" s="2">
        <v>45865</v>
      </c>
      <c r="E24">
        <v>58</v>
      </c>
      <c r="F24">
        <v>4</v>
      </c>
      <c r="G24" s="5">
        <v>22.1</v>
      </c>
      <c r="H24" t="s">
        <v>25</v>
      </c>
      <c r="I24" t="s">
        <v>14</v>
      </c>
    </row>
    <row r="25" spans="1:9" x14ac:dyDescent="0.3">
      <c r="A25">
        <v>24</v>
      </c>
      <c r="B25" t="s">
        <v>23</v>
      </c>
      <c r="C25" s="2">
        <v>45814</v>
      </c>
      <c r="D25" s="2">
        <v>45836</v>
      </c>
      <c r="E25">
        <v>57</v>
      </c>
      <c r="F25">
        <v>2</v>
      </c>
      <c r="G25" s="5">
        <v>23.1</v>
      </c>
      <c r="H25" t="s">
        <v>16</v>
      </c>
      <c r="I25" t="s">
        <v>21</v>
      </c>
    </row>
    <row r="26" spans="1:9" x14ac:dyDescent="0.3">
      <c r="A26">
        <v>25</v>
      </c>
      <c r="B26" t="s">
        <v>33</v>
      </c>
      <c r="C26" s="2">
        <v>45819</v>
      </c>
      <c r="D26" s="2">
        <v>45852</v>
      </c>
      <c r="E26">
        <v>42</v>
      </c>
      <c r="F26">
        <v>4</v>
      </c>
      <c r="G26" s="5">
        <v>24.1</v>
      </c>
      <c r="H26" t="s">
        <v>25</v>
      </c>
      <c r="I26" t="s">
        <v>19</v>
      </c>
    </row>
    <row r="27" spans="1:9" x14ac:dyDescent="0.3">
      <c r="A27">
        <v>26</v>
      </c>
      <c r="B27" t="s">
        <v>32</v>
      </c>
      <c r="C27" s="2">
        <v>45818</v>
      </c>
      <c r="D27" s="2">
        <v>45861</v>
      </c>
      <c r="E27">
        <v>13</v>
      </c>
      <c r="F27">
        <v>6</v>
      </c>
      <c r="G27" s="5">
        <v>25.1</v>
      </c>
      <c r="H27" t="s">
        <v>13</v>
      </c>
      <c r="I27" t="s">
        <v>24</v>
      </c>
    </row>
    <row r="28" spans="1:9" x14ac:dyDescent="0.3">
      <c r="A28">
        <v>27</v>
      </c>
      <c r="B28" t="s">
        <v>28</v>
      </c>
      <c r="C28" s="2">
        <v>45816</v>
      </c>
      <c r="D28" s="2">
        <v>45834</v>
      </c>
      <c r="E28">
        <v>7</v>
      </c>
      <c r="F28">
        <v>9</v>
      </c>
      <c r="G28" s="5">
        <v>26.1</v>
      </c>
      <c r="H28" t="s">
        <v>16</v>
      </c>
      <c r="I28" t="s">
        <v>14</v>
      </c>
    </row>
    <row r="29" spans="1:9" x14ac:dyDescent="0.3">
      <c r="A29">
        <v>28</v>
      </c>
      <c r="B29" t="s">
        <v>12</v>
      </c>
      <c r="C29" s="2">
        <v>45804</v>
      </c>
      <c r="D29" s="2">
        <v>45822</v>
      </c>
      <c r="E29">
        <v>19</v>
      </c>
      <c r="F29">
        <v>6</v>
      </c>
      <c r="G29" s="5">
        <v>27.1</v>
      </c>
      <c r="H29" t="s">
        <v>13</v>
      </c>
      <c r="I29" t="s">
        <v>24</v>
      </c>
    </row>
    <row r="30" spans="1:9" x14ac:dyDescent="0.3">
      <c r="A30">
        <v>29</v>
      </c>
      <c r="B30" t="s">
        <v>27</v>
      </c>
      <c r="C30" s="2">
        <v>45802</v>
      </c>
      <c r="D30" s="2">
        <v>45834</v>
      </c>
      <c r="E30">
        <v>43</v>
      </c>
      <c r="F30">
        <v>7</v>
      </c>
      <c r="G30" s="5">
        <v>28.1</v>
      </c>
      <c r="H30" t="s">
        <v>13</v>
      </c>
      <c r="I30" t="s">
        <v>24</v>
      </c>
    </row>
    <row r="31" spans="1:9" x14ac:dyDescent="0.3">
      <c r="A31">
        <v>30</v>
      </c>
      <c r="B31" t="s">
        <v>34</v>
      </c>
      <c r="C31" s="2">
        <v>45805</v>
      </c>
      <c r="D31" s="2">
        <v>45850</v>
      </c>
      <c r="E31">
        <v>39</v>
      </c>
      <c r="F31">
        <v>9</v>
      </c>
      <c r="G31" s="5">
        <v>29.1</v>
      </c>
      <c r="H31" t="s">
        <v>16</v>
      </c>
      <c r="I31" t="s">
        <v>26</v>
      </c>
    </row>
    <row r="32" spans="1:9" x14ac:dyDescent="0.3">
      <c r="A32">
        <v>31</v>
      </c>
      <c r="B32" t="s">
        <v>17</v>
      </c>
      <c r="C32" s="2">
        <v>45817</v>
      </c>
      <c r="D32" s="2">
        <v>45832</v>
      </c>
      <c r="E32">
        <v>48</v>
      </c>
      <c r="F32">
        <v>6</v>
      </c>
      <c r="G32" s="5">
        <v>30.1</v>
      </c>
      <c r="H32" t="s">
        <v>10</v>
      </c>
      <c r="I32" t="s">
        <v>24</v>
      </c>
    </row>
    <row r="33" spans="1:9" x14ac:dyDescent="0.3">
      <c r="A33">
        <v>32</v>
      </c>
      <c r="B33" t="s">
        <v>32</v>
      </c>
      <c r="C33" s="2">
        <v>45828</v>
      </c>
      <c r="D33" s="2">
        <v>45849</v>
      </c>
      <c r="E33">
        <v>22</v>
      </c>
      <c r="F33">
        <v>1</v>
      </c>
      <c r="G33" s="5">
        <v>31.1</v>
      </c>
      <c r="H33" t="s">
        <v>13</v>
      </c>
      <c r="I33" t="s">
        <v>24</v>
      </c>
    </row>
    <row r="34" spans="1:9" x14ac:dyDescent="0.3">
      <c r="A34">
        <v>33</v>
      </c>
      <c r="B34" t="s">
        <v>17</v>
      </c>
      <c r="C34" s="2">
        <v>45824</v>
      </c>
      <c r="D34" s="2">
        <v>45839</v>
      </c>
      <c r="E34">
        <v>47</v>
      </c>
      <c r="F34">
        <v>5</v>
      </c>
      <c r="G34" s="5">
        <v>32.1</v>
      </c>
      <c r="H34" t="s">
        <v>25</v>
      </c>
      <c r="I34" t="s">
        <v>14</v>
      </c>
    </row>
    <row r="35" spans="1:9" x14ac:dyDescent="0.3">
      <c r="A35">
        <v>34</v>
      </c>
      <c r="B35" t="s">
        <v>30</v>
      </c>
      <c r="C35" s="2">
        <v>45814</v>
      </c>
      <c r="D35" s="2">
        <v>45854</v>
      </c>
      <c r="E35">
        <v>8</v>
      </c>
      <c r="F35">
        <v>10</v>
      </c>
      <c r="G35" s="5">
        <v>33.1</v>
      </c>
      <c r="H35" t="s">
        <v>10</v>
      </c>
      <c r="I35" t="s">
        <v>21</v>
      </c>
    </row>
    <row r="36" spans="1:9" x14ac:dyDescent="0.3">
      <c r="A36">
        <v>35</v>
      </c>
      <c r="B36" t="s">
        <v>34</v>
      </c>
      <c r="C36" s="2">
        <v>45824</v>
      </c>
      <c r="D36" s="2">
        <v>45850</v>
      </c>
      <c r="E36">
        <v>11</v>
      </c>
      <c r="F36">
        <v>2</v>
      </c>
      <c r="G36" s="5">
        <v>34.1</v>
      </c>
      <c r="H36" t="s">
        <v>25</v>
      </c>
      <c r="I36" t="s">
        <v>35</v>
      </c>
    </row>
    <row r="37" spans="1:9" x14ac:dyDescent="0.3">
      <c r="A37">
        <v>36</v>
      </c>
      <c r="B37" t="s">
        <v>22</v>
      </c>
      <c r="C37" s="2">
        <v>45830</v>
      </c>
      <c r="D37" s="2">
        <v>45873</v>
      </c>
      <c r="E37">
        <v>8</v>
      </c>
      <c r="F37">
        <v>9</v>
      </c>
      <c r="G37" s="5">
        <v>35.1</v>
      </c>
      <c r="H37" t="s">
        <v>25</v>
      </c>
      <c r="I37" t="s">
        <v>14</v>
      </c>
    </row>
    <row r="38" spans="1:9" x14ac:dyDescent="0.3">
      <c r="A38">
        <v>37</v>
      </c>
      <c r="B38" t="s">
        <v>30</v>
      </c>
      <c r="C38" s="2">
        <v>45808</v>
      </c>
      <c r="D38" s="2">
        <v>45852</v>
      </c>
      <c r="E38">
        <v>34</v>
      </c>
      <c r="F38">
        <v>10</v>
      </c>
      <c r="G38" s="5">
        <v>36.1</v>
      </c>
      <c r="H38" t="s">
        <v>13</v>
      </c>
      <c r="I38" t="s">
        <v>21</v>
      </c>
    </row>
    <row r="39" spans="1:9" x14ac:dyDescent="0.3">
      <c r="A39">
        <v>38</v>
      </c>
      <c r="B39" t="s">
        <v>22</v>
      </c>
      <c r="C39" s="2">
        <v>45827</v>
      </c>
      <c r="D39" s="2">
        <v>45850</v>
      </c>
      <c r="E39">
        <v>16</v>
      </c>
      <c r="F39">
        <v>2</v>
      </c>
      <c r="G39" s="5">
        <v>37.1</v>
      </c>
      <c r="H39" t="s">
        <v>16</v>
      </c>
      <c r="I39" t="s">
        <v>19</v>
      </c>
    </row>
    <row r="40" spans="1:9" x14ac:dyDescent="0.3">
      <c r="A40">
        <v>39</v>
      </c>
      <c r="B40" t="s">
        <v>18</v>
      </c>
      <c r="C40" s="2">
        <v>45823</v>
      </c>
      <c r="D40" s="2">
        <v>45858</v>
      </c>
      <c r="E40">
        <v>37</v>
      </c>
      <c r="F40">
        <v>6</v>
      </c>
      <c r="G40" s="5">
        <v>38.1</v>
      </c>
      <c r="H40" t="s">
        <v>10</v>
      </c>
      <c r="I40" t="s">
        <v>14</v>
      </c>
    </row>
    <row r="41" spans="1:9" x14ac:dyDescent="0.3">
      <c r="A41">
        <v>40</v>
      </c>
      <c r="B41" t="s">
        <v>20</v>
      </c>
      <c r="C41" s="2">
        <v>45846</v>
      </c>
      <c r="D41" s="2">
        <v>45878</v>
      </c>
      <c r="E41">
        <v>25</v>
      </c>
      <c r="F41">
        <v>2</v>
      </c>
      <c r="G41" s="5">
        <v>39.1</v>
      </c>
      <c r="H41" t="s">
        <v>10</v>
      </c>
      <c r="I41" t="s">
        <v>26</v>
      </c>
    </row>
    <row r="42" spans="1:9" x14ac:dyDescent="0.3">
      <c r="A42">
        <v>41</v>
      </c>
      <c r="B42" t="s">
        <v>28</v>
      </c>
      <c r="C42" s="2">
        <v>45821</v>
      </c>
      <c r="D42" s="2">
        <v>45850</v>
      </c>
      <c r="E42">
        <v>53</v>
      </c>
      <c r="F42">
        <v>8</v>
      </c>
      <c r="G42" s="5">
        <v>40.1</v>
      </c>
      <c r="H42" t="s">
        <v>25</v>
      </c>
      <c r="I42" t="s">
        <v>14</v>
      </c>
    </row>
    <row r="43" spans="1:9" x14ac:dyDescent="0.3">
      <c r="A43">
        <v>42</v>
      </c>
      <c r="B43" t="s">
        <v>28</v>
      </c>
      <c r="C43" s="2">
        <v>45828</v>
      </c>
      <c r="D43" s="2">
        <v>45871</v>
      </c>
      <c r="E43">
        <v>44</v>
      </c>
      <c r="F43">
        <v>4</v>
      </c>
      <c r="G43" s="5">
        <v>41.1</v>
      </c>
      <c r="H43" t="s">
        <v>13</v>
      </c>
      <c r="I43" t="s">
        <v>14</v>
      </c>
    </row>
    <row r="44" spans="1:9" x14ac:dyDescent="0.3">
      <c r="A44">
        <v>43</v>
      </c>
      <c r="B44" t="s">
        <v>23</v>
      </c>
      <c r="C44" s="2">
        <v>45835</v>
      </c>
      <c r="D44" s="2">
        <v>45864</v>
      </c>
      <c r="E44">
        <v>41</v>
      </c>
      <c r="F44">
        <v>5</v>
      </c>
      <c r="G44" s="5">
        <v>42.1</v>
      </c>
      <c r="H44" t="s">
        <v>13</v>
      </c>
      <c r="I44" t="s">
        <v>35</v>
      </c>
    </row>
    <row r="45" spans="1:9" x14ac:dyDescent="0.3">
      <c r="A45">
        <v>44</v>
      </c>
      <c r="B45" t="s">
        <v>31</v>
      </c>
      <c r="C45" s="2">
        <v>45819</v>
      </c>
      <c r="D45" s="2">
        <v>45864</v>
      </c>
      <c r="E45">
        <v>36</v>
      </c>
      <c r="F45">
        <v>1</v>
      </c>
      <c r="G45" s="5">
        <v>43.1</v>
      </c>
      <c r="H45" t="s">
        <v>13</v>
      </c>
      <c r="I45" t="s">
        <v>19</v>
      </c>
    </row>
    <row r="46" spans="1:9" x14ac:dyDescent="0.3">
      <c r="A46">
        <v>45</v>
      </c>
      <c r="B46" t="s">
        <v>30</v>
      </c>
      <c r="C46" s="2">
        <v>45826</v>
      </c>
      <c r="D46" s="2">
        <v>45850</v>
      </c>
      <c r="E46">
        <v>21</v>
      </c>
      <c r="F46">
        <v>7</v>
      </c>
      <c r="G46" s="5">
        <v>44.1</v>
      </c>
      <c r="H46" t="s">
        <v>13</v>
      </c>
      <c r="I46" t="s">
        <v>19</v>
      </c>
    </row>
    <row r="47" spans="1:9" x14ac:dyDescent="0.3">
      <c r="A47">
        <v>46</v>
      </c>
      <c r="B47" t="s">
        <v>36</v>
      </c>
      <c r="C47" s="2">
        <v>45813</v>
      </c>
      <c r="D47" s="2">
        <v>45837</v>
      </c>
      <c r="E47">
        <v>19</v>
      </c>
      <c r="F47">
        <v>3</v>
      </c>
      <c r="G47" s="5">
        <v>45.1</v>
      </c>
      <c r="H47" t="s">
        <v>25</v>
      </c>
      <c r="I47" t="s">
        <v>26</v>
      </c>
    </row>
    <row r="48" spans="1:9" x14ac:dyDescent="0.3">
      <c r="A48">
        <v>47</v>
      </c>
      <c r="B48" t="s">
        <v>23</v>
      </c>
      <c r="C48" s="2">
        <v>45846</v>
      </c>
      <c r="D48" s="2">
        <v>45878</v>
      </c>
      <c r="E48">
        <v>48</v>
      </c>
      <c r="F48">
        <v>3</v>
      </c>
      <c r="G48" s="5">
        <v>46.1</v>
      </c>
      <c r="H48" t="s">
        <v>10</v>
      </c>
      <c r="I48" t="s">
        <v>35</v>
      </c>
    </row>
    <row r="49" spans="1:9" x14ac:dyDescent="0.3">
      <c r="A49">
        <v>48</v>
      </c>
      <c r="B49" t="s">
        <v>37</v>
      </c>
      <c r="C49" s="2">
        <v>45846</v>
      </c>
      <c r="D49" s="2">
        <v>45872</v>
      </c>
      <c r="E49">
        <v>10</v>
      </c>
      <c r="F49">
        <v>4</v>
      </c>
      <c r="G49" s="5">
        <v>47.1</v>
      </c>
      <c r="H49" t="s">
        <v>16</v>
      </c>
      <c r="I49" t="s">
        <v>14</v>
      </c>
    </row>
    <row r="50" spans="1:9" x14ac:dyDescent="0.3">
      <c r="A50">
        <v>49</v>
      </c>
      <c r="B50" t="s">
        <v>17</v>
      </c>
      <c r="C50" s="2">
        <v>45830</v>
      </c>
      <c r="D50" s="2">
        <v>45869</v>
      </c>
      <c r="E50">
        <v>13</v>
      </c>
      <c r="F50">
        <v>9</v>
      </c>
      <c r="G50" s="5">
        <v>48.1</v>
      </c>
      <c r="H50" t="s">
        <v>10</v>
      </c>
      <c r="I50" t="s">
        <v>35</v>
      </c>
    </row>
    <row r="51" spans="1:9" x14ac:dyDescent="0.3">
      <c r="A51">
        <v>50</v>
      </c>
      <c r="B51" t="s">
        <v>22</v>
      </c>
      <c r="C51" s="2">
        <v>45812</v>
      </c>
      <c r="D51" s="2">
        <v>45830</v>
      </c>
      <c r="E51">
        <v>25</v>
      </c>
      <c r="F51">
        <v>8</v>
      </c>
      <c r="G51" s="5">
        <v>49.1</v>
      </c>
      <c r="H51" t="s">
        <v>10</v>
      </c>
      <c r="I51" t="s">
        <v>19</v>
      </c>
    </row>
    <row r="52" spans="1:9" x14ac:dyDescent="0.3">
      <c r="A52">
        <v>51</v>
      </c>
      <c r="B52" t="s">
        <v>34</v>
      </c>
      <c r="C52" s="2">
        <v>45840</v>
      </c>
      <c r="D52" s="2">
        <v>45877</v>
      </c>
      <c r="E52">
        <v>46</v>
      </c>
      <c r="F52">
        <v>9</v>
      </c>
      <c r="G52" s="5">
        <v>50.1</v>
      </c>
      <c r="H52" t="s">
        <v>13</v>
      </c>
      <c r="I52" t="s">
        <v>14</v>
      </c>
    </row>
    <row r="53" spans="1:9" x14ac:dyDescent="0.3">
      <c r="A53">
        <v>52</v>
      </c>
      <c r="B53" t="s">
        <v>32</v>
      </c>
      <c r="C53" s="2">
        <v>45818</v>
      </c>
      <c r="D53" s="2">
        <v>45860</v>
      </c>
      <c r="E53">
        <v>22</v>
      </c>
      <c r="F53">
        <v>8</v>
      </c>
      <c r="G53" s="5">
        <v>51.1</v>
      </c>
      <c r="H53" t="s">
        <v>25</v>
      </c>
      <c r="I53" t="s">
        <v>24</v>
      </c>
    </row>
    <row r="54" spans="1:9" x14ac:dyDescent="0.3">
      <c r="A54">
        <v>53</v>
      </c>
      <c r="B54" t="s">
        <v>20</v>
      </c>
      <c r="C54" s="2">
        <v>45802</v>
      </c>
      <c r="D54" s="2">
        <v>45819</v>
      </c>
      <c r="E54">
        <v>35</v>
      </c>
      <c r="F54">
        <v>7</v>
      </c>
      <c r="G54" s="5">
        <v>52.1</v>
      </c>
      <c r="H54" t="s">
        <v>13</v>
      </c>
      <c r="I54" t="s">
        <v>26</v>
      </c>
    </row>
    <row r="55" spans="1:9" x14ac:dyDescent="0.3">
      <c r="A55">
        <v>54</v>
      </c>
      <c r="B55" t="s">
        <v>20</v>
      </c>
      <c r="C55" s="2">
        <v>45820</v>
      </c>
      <c r="D55" s="2">
        <v>45860</v>
      </c>
      <c r="E55">
        <v>51</v>
      </c>
      <c r="F55">
        <v>7</v>
      </c>
      <c r="G55" s="5">
        <v>53.1</v>
      </c>
      <c r="H55" t="s">
        <v>10</v>
      </c>
      <c r="I55" t="s">
        <v>14</v>
      </c>
    </row>
    <row r="56" spans="1:9" x14ac:dyDescent="0.3">
      <c r="A56">
        <v>55</v>
      </c>
      <c r="B56" t="s">
        <v>28</v>
      </c>
      <c r="C56" s="2">
        <v>45802</v>
      </c>
      <c r="D56" s="2">
        <v>45844</v>
      </c>
      <c r="E56">
        <v>30</v>
      </c>
      <c r="F56">
        <v>3</v>
      </c>
      <c r="G56" s="5">
        <v>54.1</v>
      </c>
      <c r="H56" t="s">
        <v>13</v>
      </c>
      <c r="I56" t="s">
        <v>21</v>
      </c>
    </row>
    <row r="57" spans="1:9" x14ac:dyDescent="0.3">
      <c r="A57">
        <v>56</v>
      </c>
      <c r="B57" t="s">
        <v>29</v>
      </c>
      <c r="C57" s="2">
        <v>45836</v>
      </c>
      <c r="D57" s="2">
        <v>45865</v>
      </c>
      <c r="E57">
        <v>44</v>
      </c>
      <c r="F57">
        <v>5</v>
      </c>
      <c r="G57" s="5">
        <v>55.1</v>
      </c>
      <c r="H57" t="s">
        <v>13</v>
      </c>
      <c r="I57" t="s">
        <v>19</v>
      </c>
    </row>
    <row r="58" spans="1:9" x14ac:dyDescent="0.3">
      <c r="A58">
        <v>57</v>
      </c>
      <c r="B58" t="s">
        <v>37</v>
      </c>
      <c r="C58" s="2">
        <v>45815</v>
      </c>
      <c r="D58" s="2">
        <v>45836</v>
      </c>
      <c r="E58">
        <v>24</v>
      </c>
      <c r="F58">
        <v>5</v>
      </c>
      <c r="G58" s="5">
        <v>56.1</v>
      </c>
      <c r="H58" t="s">
        <v>10</v>
      </c>
      <c r="I58" t="s">
        <v>19</v>
      </c>
    </row>
    <row r="59" spans="1:9" x14ac:dyDescent="0.3">
      <c r="A59">
        <v>58</v>
      </c>
      <c r="B59" t="s">
        <v>28</v>
      </c>
      <c r="C59" s="2">
        <v>45825</v>
      </c>
      <c r="D59" s="2">
        <v>45846</v>
      </c>
      <c r="E59">
        <v>16</v>
      </c>
      <c r="F59">
        <v>7</v>
      </c>
      <c r="G59" s="5">
        <v>57.1</v>
      </c>
      <c r="H59" t="s">
        <v>25</v>
      </c>
      <c r="I59" t="s">
        <v>26</v>
      </c>
    </row>
    <row r="60" spans="1:9" x14ac:dyDescent="0.3">
      <c r="A60">
        <v>59</v>
      </c>
      <c r="B60" t="s">
        <v>29</v>
      </c>
      <c r="C60" s="2">
        <v>45803</v>
      </c>
      <c r="D60" s="2">
        <v>45829</v>
      </c>
      <c r="E60">
        <v>28</v>
      </c>
      <c r="F60">
        <v>10</v>
      </c>
      <c r="G60" s="5">
        <v>58.1</v>
      </c>
      <c r="H60" t="s">
        <v>10</v>
      </c>
      <c r="I60" t="s">
        <v>19</v>
      </c>
    </row>
    <row r="61" spans="1:9" x14ac:dyDescent="0.3">
      <c r="A61">
        <v>60</v>
      </c>
      <c r="B61" t="s">
        <v>27</v>
      </c>
      <c r="C61" s="2">
        <v>45822</v>
      </c>
      <c r="D61" s="2">
        <v>45857</v>
      </c>
      <c r="E61">
        <v>44</v>
      </c>
      <c r="F61">
        <v>7</v>
      </c>
      <c r="G61" s="5">
        <v>59.1</v>
      </c>
      <c r="H61" t="s">
        <v>10</v>
      </c>
      <c r="I61" t="s">
        <v>19</v>
      </c>
    </row>
    <row r="62" spans="1:9" x14ac:dyDescent="0.3">
      <c r="A62">
        <v>61</v>
      </c>
      <c r="B62" t="s">
        <v>27</v>
      </c>
      <c r="C62" s="2">
        <v>45842</v>
      </c>
      <c r="D62" s="2">
        <v>45859</v>
      </c>
      <c r="E62">
        <v>31</v>
      </c>
      <c r="F62">
        <v>9</v>
      </c>
      <c r="G62" s="5">
        <v>60.1</v>
      </c>
      <c r="H62" t="s">
        <v>13</v>
      </c>
      <c r="I62" t="s">
        <v>11</v>
      </c>
    </row>
    <row r="63" spans="1:9" x14ac:dyDescent="0.3">
      <c r="A63">
        <v>62</v>
      </c>
      <c r="B63" t="s">
        <v>27</v>
      </c>
      <c r="C63" s="2">
        <v>45811</v>
      </c>
      <c r="D63" s="2">
        <v>45855</v>
      </c>
      <c r="E63">
        <v>30</v>
      </c>
      <c r="F63">
        <v>3</v>
      </c>
      <c r="G63" s="5">
        <v>61.1</v>
      </c>
      <c r="H63" t="s">
        <v>16</v>
      </c>
      <c r="I63" t="s">
        <v>35</v>
      </c>
    </row>
    <row r="64" spans="1:9" x14ac:dyDescent="0.3">
      <c r="A64">
        <v>63</v>
      </c>
      <c r="B64" t="s">
        <v>31</v>
      </c>
      <c r="C64" s="2">
        <v>45805</v>
      </c>
      <c r="D64" s="2">
        <v>45821</v>
      </c>
      <c r="E64">
        <v>42</v>
      </c>
      <c r="F64">
        <v>7</v>
      </c>
      <c r="G64" s="5">
        <v>62.1</v>
      </c>
      <c r="H64" t="s">
        <v>10</v>
      </c>
      <c r="I64" t="s">
        <v>24</v>
      </c>
    </row>
    <row r="65" spans="1:9" x14ac:dyDescent="0.3">
      <c r="A65">
        <v>64</v>
      </c>
      <c r="B65" t="s">
        <v>9</v>
      </c>
      <c r="C65" s="2">
        <v>45823</v>
      </c>
      <c r="D65" s="2">
        <v>45843</v>
      </c>
      <c r="E65">
        <v>9</v>
      </c>
      <c r="F65">
        <v>4</v>
      </c>
      <c r="G65" s="5">
        <v>63.1</v>
      </c>
      <c r="H65" t="s">
        <v>16</v>
      </c>
      <c r="I65" t="s">
        <v>11</v>
      </c>
    </row>
    <row r="66" spans="1:9" x14ac:dyDescent="0.3">
      <c r="A66">
        <v>65</v>
      </c>
      <c r="B66" t="s">
        <v>20</v>
      </c>
      <c r="C66" s="2">
        <v>45814</v>
      </c>
      <c r="D66" s="2">
        <v>45830</v>
      </c>
      <c r="E66">
        <v>5</v>
      </c>
      <c r="F66">
        <v>8</v>
      </c>
      <c r="G66" s="5">
        <v>64.099999999999994</v>
      </c>
      <c r="H66" t="s">
        <v>13</v>
      </c>
      <c r="I66" t="s">
        <v>26</v>
      </c>
    </row>
    <row r="67" spans="1:9" x14ac:dyDescent="0.3">
      <c r="A67">
        <v>66</v>
      </c>
      <c r="B67" t="s">
        <v>22</v>
      </c>
      <c r="C67" s="2">
        <v>45837</v>
      </c>
      <c r="D67" s="2">
        <v>45882</v>
      </c>
      <c r="E67">
        <v>51</v>
      </c>
      <c r="F67">
        <v>9</v>
      </c>
      <c r="G67" s="5">
        <v>65.099999999999994</v>
      </c>
      <c r="H67" t="s">
        <v>25</v>
      </c>
      <c r="I67" t="s">
        <v>24</v>
      </c>
    </row>
    <row r="68" spans="1:9" x14ac:dyDescent="0.3">
      <c r="A68">
        <v>67</v>
      </c>
      <c r="B68" t="s">
        <v>36</v>
      </c>
      <c r="C68" s="2">
        <v>45831</v>
      </c>
      <c r="D68" s="2">
        <v>45859</v>
      </c>
      <c r="E68">
        <v>43</v>
      </c>
      <c r="F68">
        <v>9</v>
      </c>
      <c r="G68" s="5">
        <v>66.099999999999994</v>
      </c>
      <c r="H68" t="s">
        <v>10</v>
      </c>
      <c r="I68" t="s">
        <v>26</v>
      </c>
    </row>
    <row r="69" spans="1:9" x14ac:dyDescent="0.3">
      <c r="A69">
        <v>68</v>
      </c>
      <c r="B69" t="s">
        <v>28</v>
      </c>
      <c r="C69" s="2">
        <v>45814</v>
      </c>
      <c r="D69" s="2">
        <v>45831</v>
      </c>
      <c r="E69">
        <v>30</v>
      </c>
      <c r="F69">
        <v>3</v>
      </c>
      <c r="G69" s="5">
        <v>67.099999999999994</v>
      </c>
      <c r="H69" t="s">
        <v>10</v>
      </c>
      <c r="I69" t="s">
        <v>11</v>
      </c>
    </row>
    <row r="70" spans="1:9" x14ac:dyDescent="0.3">
      <c r="A70">
        <v>69</v>
      </c>
      <c r="B70" t="s">
        <v>36</v>
      </c>
      <c r="C70" s="2">
        <v>45825</v>
      </c>
      <c r="D70" s="2">
        <v>45846</v>
      </c>
      <c r="E70">
        <v>8</v>
      </c>
      <c r="F70">
        <v>2</v>
      </c>
      <c r="G70" s="5">
        <v>68.099999999999994</v>
      </c>
      <c r="H70" t="s">
        <v>13</v>
      </c>
      <c r="I70" t="s">
        <v>24</v>
      </c>
    </row>
    <row r="71" spans="1:9" x14ac:dyDescent="0.3">
      <c r="A71">
        <v>70</v>
      </c>
      <c r="B71" t="s">
        <v>9</v>
      </c>
      <c r="C71" s="2">
        <v>45812</v>
      </c>
      <c r="D71" s="2">
        <v>45829</v>
      </c>
      <c r="E71">
        <v>33</v>
      </c>
      <c r="F71">
        <v>1</v>
      </c>
      <c r="G71" s="5">
        <v>69.099999999999994</v>
      </c>
      <c r="H71" t="s">
        <v>10</v>
      </c>
      <c r="I71" t="s">
        <v>35</v>
      </c>
    </row>
    <row r="72" spans="1:9" x14ac:dyDescent="0.3">
      <c r="A72">
        <v>71</v>
      </c>
      <c r="B72" t="s">
        <v>9</v>
      </c>
      <c r="C72" s="2">
        <v>45803</v>
      </c>
      <c r="D72" s="2">
        <v>45832</v>
      </c>
      <c r="E72">
        <v>15</v>
      </c>
      <c r="F72">
        <v>10</v>
      </c>
      <c r="G72" s="5">
        <v>70.099999999999994</v>
      </c>
      <c r="H72" t="s">
        <v>16</v>
      </c>
      <c r="I72" t="s">
        <v>14</v>
      </c>
    </row>
    <row r="73" spans="1:9" x14ac:dyDescent="0.3">
      <c r="A73">
        <v>72</v>
      </c>
      <c r="B73" t="s">
        <v>20</v>
      </c>
      <c r="C73" s="2">
        <v>45823</v>
      </c>
      <c r="D73" s="2">
        <v>45863</v>
      </c>
      <c r="E73">
        <v>39</v>
      </c>
      <c r="F73">
        <v>1</v>
      </c>
      <c r="G73" s="5">
        <v>71.099999999999994</v>
      </c>
      <c r="H73" t="s">
        <v>25</v>
      </c>
      <c r="I73" t="s">
        <v>19</v>
      </c>
    </row>
    <row r="74" spans="1:9" x14ac:dyDescent="0.3">
      <c r="A74">
        <v>73</v>
      </c>
      <c r="B74" t="s">
        <v>27</v>
      </c>
      <c r="C74" s="2">
        <v>45844</v>
      </c>
      <c r="D74" s="2">
        <v>45888</v>
      </c>
      <c r="E74">
        <v>32</v>
      </c>
      <c r="F74">
        <v>2</v>
      </c>
      <c r="G74" s="5">
        <v>72.099999999999994</v>
      </c>
      <c r="H74" t="s">
        <v>10</v>
      </c>
      <c r="I74" t="s">
        <v>26</v>
      </c>
    </row>
    <row r="75" spans="1:9" x14ac:dyDescent="0.3">
      <c r="A75">
        <v>74</v>
      </c>
      <c r="B75" t="s">
        <v>29</v>
      </c>
      <c r="C75" s="2">
        <v>45805</v>
      </c>
      <c r="D75" s="2">
        <v>45843</v>
      </c>
      <c r="E75">
        <v>55</v>
      </c>
      <c r="F75">
        <v>6</v>
      </c>
      <c r="G75" s="5">
        <v>73.099999999999994</v>
      </c>
      <c r="H75" t="s">
        <v>16</v>
      </c>
      <c r="I75" t="s">
        <v>14</v>
      </c>
    </row>
    <row r="76" spans="1:9" x14ac:dyDescent="0.3">
      <c r="A76">
        <v>75</v>
      </c>
      <c r="B76" t="s">
        <v>29</v>
      </c>
      <c r="C76" s="2">
        <v>45813</v>
      </c>
      <c r="D76" s="2">
        <v>45840</v>
      </c>
      <c r="E76">
        <v>38</v>
      </c>
      <c r="F76">
        <v>4</v>
      </c>
      <c r="G76" s="5">
        <v>74.099999999999994</v>
      </c>
      <c r="H76" t="s">
        <v>13</v>
      </c>
      <c r="I76" t="s">
        <v>11</v>
      </c>
    </row>
    <row r="77" spans="1:9" x14ac:dyDescent="0.3">
      <c r="A77">
        <v>76</v>
      </c>
      <c r="B77" t="s">
        <v>32</v>
      </c>
      <c r="C77" s="2">
        <v>45826</v>
      </c>
      <c r="D77" s="2">
        <v>45868</v>
      </c>
      <c r="E77">
        <v>23</v>
      </c>
      <c r="F77">
        <v>9</v>
      </c>
      <c r="G77" s="5">
        <v>75.099999999999994</v>
      </c>
      <c r="H77" t="s">
        <v>10</v>
      </c>
      <c r="I77" t="s">
        <v>35</v>
      </c>
    </row>
    <row r="78" spans="1:9" x14ac:dyDescent="0.3">
      <c r="A78">
        <v>77</v>
      </c>
      <c r="B78" t="s">
        <v>29</v>
      </c>
      <c r="C78" s="2">
        <v>45803</v>
      </c>
      <c r="D78" s="2">
        <v>45845</v>
      </c>
      <c r="E78">
        <v>48</v>
      </c>
      <c r="F78">
        <v>2</v>
      </c>
      <c r="G78" s="5">
        <v>76.099999999999994</v>
      </c>
      <c r="H78" t="s">
        <v>16</v>
      </c>
      <c r="I78" t="s">
        <v>11</v>
      </c>
    </row>
    <row r="79" spans="1:9" x14ac:dyDescent="0.3">
      <c r="A79">
        <v>78</v>
      </c>
      <c r="B79" t="s">
        <v>9</v>
      </c>
      <c r="C79" s="2">
        <v>45834</v>
      </c>
      <c r="D79" s="2">
        <v>45854</v>
      </c>
      <c r="E79">
        <v>50</v>
      </c>
      <c r="F79">
        <v>4</v>
      </c>
      <c r="G79" s="5">
        <v>77.099999999999994</v>
      </c>
      <c r="H79" t="s">
        <v>10</v>
      </c>
      <c r="I79" t="s">
        <v>19</v>
      </c>
    </row>
    <row r="80" spans="1:9" x14ac:dyDescent="0.3">
      <c r="A80">
        <v>79</v>
      </c>
      <c r="B80" t="s">
        <v>33</v>
      </c>
      <c r="C80" s="2">
        <v>45832</v>
      </c>
      <c r="D80" s="2">
        <v>45875</v>
      </c>
      <c r="E80">
        <v>41</v>
      </c>
      <c r="F80">
        <v>2</v>
      </c>
      <c r="G80" s="5">
        <v>78.099999999999994</v>
      </c>
      <c r="H80" t="s">
        <v>25</v>
      </c>
      <c r="I80" t="s">
        <v>21</v>
      </c>
    </row>
    <row r="81" spans="1:9" x14ac:dyDescent="0.3">
      <c r="A81">
        <v>80</v>
      </c>
      <c r="B81" t="s">
        <v>22</v>
      </c>
      <c r="C81" s="2">
        <v>45827</v>
      </c>
      <c r="D81" s="2">
        <v>45867</v>
      </c>
      <c r="E81">
        <v>9</v>
      </c>
      <c r="F81">
        <v>5</v>
      </c>
      <c r="G81" s="5">
        <v>79.099999999999994</v>
      </c>
      <c r="H81" t="s">
        <v>16</v>
      </c>
      <c r="I81" t="s">
        <v>35</v>
      </c>
    </row>
    <row r="82" spans="1:9" x14ac:dyDescent="0.3">
      <c r="A82">
        <v>81</v>
      </c>
      <c r="B82" t="s">
        <v>33</v>
      </c>
      <c r="C82" s="2">
        <v>45835</v>
      </c>
      <c r="D82" s="2">
        <v>45866</v>
      </c>
      <c r="E82">
        <v>47</v>
      </c>
      <c r="F82">
        <v>5</v>
      </c>
      <c r="G82" s="5">
        <v>80.099999999999994</v>
      </c>
      <c r="H82" t="s">
        <v>13</v>
      </c>
      <c r="I82" t="s">
        <v>24</v>
      </c>
    </row>
    <row r="83" spans="1:9" x14ac:dyDescent="0.3">
      <c r="A83">
        <v>82</v>
      </c>
      <c r="B83" t="s">
        <v>17</v>
      </c>
      <c r="C83" s="2">
        <v>45827</v>
      </c>
      <c r="D83" s="2">
        <v>45869</v>
      </c>
      <c r="E83">
        <v>41</v>
      </c>
      <c r="F83">
        <v>8</v>
      </c>
      <c r="G83" s="5">
        <v>81.099999999999994</v>
      </c>
      <c r="H83" t="s">
        <v>25</v>
      </c>
      <c r="I83" t="s">
        <v>11</v>
      </c>
    </row>
    <row r="84" spans="1:9" x14ac:dyDescent="0.3">
      <c r="A84">
        <v>83</v>
      </c>
      <c r="B84" t="s">
        <v>33</v>
      </c>
      <c r="C84" s="2">
        <v>45807</v>
      </c>
      <c r="D84" s="2">
        <v>45824</v>
      </c>
      <c r="E84">
        <v>34</v>
      </c>
      <c r="F84">
        <v>5</v>
      </c>
      <c r="G84" s="5">
        <v>82.1</v>
      </c>
      <c r="H84" t="s">
        <v>13</v>
      </c>
      <c r="I84" t="s">
        <v>11</v>
      </c>
    </row>
    <row r="85" spans="1:9" x14ac:dyDescent="0.3">
      <c r="A85">
        <v>84</v>
      </c>
      <c r="B85" t="s">
        <v>33</v>
      </c>
      <c r="C85" s="2">
        <v>45813</v>
      </c>
      <c r="D85" s="2">
        <v>45837</v>
      </c>
      <c r="E85">
        <v>30</v>
      </c>
      <c r="F85">
        <v>10</v>
      </c>
      <c r="G85" s="5">
        <v>83.1</v>
      </c>
      <c r="H85" t="s">
        <v>13</v>
      </c>
      <c r="I85" t="s">
        <v>35</v>
      </c>
    </row>
    <row r="86" spans="1:9" x14ac:dyDescent="0.3">
      <c r="A86">
        <v>85</v>
      </c>
      <c r="B86" t="s">
        <v>37</v>
      </c>
      <c r="C86" s="2">
        <v>45811</v>
      </c>
      <c r="D86" s="2">
        <v>45833</v>
      </c>
      <c r="E86">
        <v>50</v>
      </c>
      <c r="F86">
        <v>6</v>
      </c>
      <c r="G86" s="5">
        <v>84.1</v>
      </c>
      <c r="H86" t="s">
        <v>25</v>
      </c>
      <c r="I86" t="s">
        <v>26</v>
      </c>
    </row>
    <row r="87" spans="1:9" x14ac:dyDescent="0.3">
      <c r="A87">
        <v>86</v>
      </c>
      <c r="B87" t="s">
        <v>22</v>
      </c>
      <c r="C87" s="2">
        <v>45812</v>
      </c>
      <c r="D87" s="2">
        <v>45845</v>
      </c>
      <c r="E87">
        <v>9</v>
      </c>
      <c r="F87">
        <v>1</v>
      </c>
      <c r="G87" s="5">
        <v>85.1</v>
      </c>
      <c r="H87" t="s">
        <v>25</v>
      </c>
      <c r="I87" t="s">
        <v>19</v>
      </c>
    </row>
    <row r="88" spans="1:9" x14ac:dyDescent="0.3">
      <c r="A88">
        <v>87</v>
      </c>
      <c r="B88" t="s">
        <v>34</v>
      </c>
      <c r="C88" s="2">
        <v>45835</v>
      </c>
      <c r="D88" s="2">
        <v>45853</v>
      </c>
      <c r="E88">
        <v>12</v>
      </c>
      <c r="F88">
        <v>7</v>
      </c>
      <c r="G88" s="5">
        <v>86.1</v>
      </c>
      <c r="H88" t="s">
        <v>25</v>
      </c>
      <c r="I88" t="s">
        <v>35</v>
      </c>
    </row>
    <row r="89" spans="1:9" x14ac:dyDescent="0.3">
      <c r="A89">
        <v>88</v>
      </c>
      <c r="B89" t="s">
        <v>12</v>
      </c>
      <c r="C89" s="2">
        <v>45834</v>
      </c>
      <c r="D89" s="2">
        <v>45866</v>
      </c>
      <c r="E89">
        <v>25</v>
      </c>
      <c r="F89">
        <v>10</v>
      </c>
      <c r="G89" s="5">
        <v>87.1</v>
      </c>
      <c r="H89" t="s">
        <v>10</v>
      </c>
      <c r="I89" t="s">
        <v>24</v>
      </c>
    </row>
    <row r="90" spans="1:9" x14ac:dyDescent="0.3">
      <c r="A90">
        <v>89</v>
      </c>
      <c r="B90" t="s">
        <v>29</v>
      </c>
      <c r="C90" s="2">
        <v>45813</v>
      </c>
      <c r="D90" s="2">
        <v>45832</v>
      </c>
      <c r="E90">
        <v>28</v>
      </c>
      <c r="F90">
        <v>7</v>
      </c>
      <c r="G90" s="5">
        <v>88.1</v>
      </c>
      <c r="H90" t="s">
        <v>16</v>
      </c>
      <c r="I90" t="s">
        <v>21</v>
      </c>
    </row>
    <row r="91" spans="1:9" x14ac:dyDescent="0.3">
      <c r="A91">
        <v>90</v>
      </c>
      <c r="B91" t="s">
        <v>17</v>
      </c>
      <c r="C91" s="2">
        <v>45823</v>
      </c>
      <c r="D91" s="2">
        <v>45844</v>
      </c>
      <c r="E91">
        <v>48</v>
      </c>
      <c r="F91">
        <v>2</v>
      </c>
      <c r="G91" s="5">
        <v>89.1</v>
      </c>
      <c r="H91" t="s">
        <v>16</v>
      </c>
      <c r="I91" t="s">
        <v>19</v>
      </c>
    </row>
    <row r="92" spans="1:9" x14ac:dyDescent="0.3">
      <c r="A92">
        <v>91</v>
      </c>
      <c r="B92" t="s">
        <v>28</v>
      </c>
      <c r="C92" s="2">
        <v>45807</v>
      </c>
      <c r="D92" s="2">
        <v>45832</v>
      </c>
      <c r="E92">
        <v>55</v>
      </c>
      <c r="F92">
        <v>7</v>
      </c>
      <c r="G92" s="5">
        <v>90.1</v>
      </c>
      <c r="H92" t="s">
        <v>16</v>
      </c>
      <c r="I92" t="s">
        <v>11</v>
      </c>
    </row>
    <row r="93" spans="1:9" x14ac:dyDescent="0.3">
      <c r="A93">
        <v>92</v>
      </c>
      <c r="B93" t="s">
        <v>22</v>
      </c>
      <c r="C93" s="2">
        <v>45824</v>
      </c>
      <c r="D93" s="2">
        <v>45865</v>
      </c>
      <c r="E93">
        <v>12</v>
      </c>
      <c r="F93">
        <v>3</v>
      </c>
      <c r="G93" s="5">
        <v>91.1</v>
      </c>
      <c r="H93" t="s">
        <v>25</v>
      </c>
      <c r="I93" t="s">
        <v>21</v>
      </c>
    </row>
    <row r="94" spans="1:9" x14ac:dyDescent="0.3">
      <c r="A94">
        <v>93</v>
      </c>
      <c r="B94" t="s">
        <v>20</v>
      </c>
      <c r="C94" s="2">
        <v>45837</v>
      </c>
      <c r="D94" s="2">
        <v>45868</v>
      </c>
      <c r="E94">
        <v>40</v>
      </c>
      <c r="F94">
        <v>1</v>
      </c>
      <c r="G94" s="5">
        <v>92.1</v>
      </c>
      <c r="H94" t="s">
        <v>13</v>
      </c>
      <c r="I94" t="s">
        <v>11</v>
      </c>
    </row>
    <row r="95" spans="1:9" x14ac:dyDescent="0.3">
      <c r="A95">
        <v>94</v>
      </c>
      <c r="B95" t="s">
        <v>33</v>
      </c>
      <c r="C95" s="2">
        <v>45803</v>
      </c>
      <c r="D95" s="2">
        <v>45829</v>
      </c>
      <c r="E95">
        <v>41</v>
      </c>
      <c r="F95">
        <v>1</v>
      </c>
      <c r="G95" s="5">
        <v>93.1</v>
      </c>
      <c r="H95" t="s">
        <v>13</v>
      </c>
      <c r="I95" t="s">
        <v>24</v>
      </c>
    </row>
    <row r="96" spans="1:9" x14ac:dyDescent="0.3">
      <c r="A96">
        <v>95</v>
      </c>
      <c r="B96" t="s">
        <v>37</v>
      </c>
      <c r="C96" s="2">
        <v>45846</v>
      </c>
      <c r="D96" s="2">
        <v>45874</v>
      </c>
      <c r="E96">
        <v>35</v>
      </c>
      <c r="F96">
        <v>4</v>
      </c>
      <c r="G96" s="5">
        <v>94.1</v>
      </c>
      <c r="H96" t="s">
        <v>13</v>
      </c>
      <c r="I96" t="s">
        <v>35</v>
      </c>
    </row>
    <row r="97" spans="1:9" x14ac:dyDescent="0.3">
      <c r="A97">
        <v>96</v>
      </c>
      <c r="B97" t="s">
        <v>33</v>
      </c>
      <c r="C97" s="2">
        <v>45824</v>
      </c>
      <c r="D97" s="2">
        <v>45856</v>
      </c>
      <c r="E97">
        <v>12</v>
      </c>
      <c r="F97">
        <v>2</v>
      </c>
      <c r="G97" s="5">
        <v>95.1</v>
      </c>
      <c r="H97" t="s">
        <v>25</v>
      </c>
      <c r="I97" t="s">
        <v>21</v>
      </c>
    </row>
    <row r="98" spans="1:9" x14ac:dyDescent="0.3">
      <c r="A98">
        <v>97</v>
      </c>
      <c r="B98" t="s">
        <v>32</v>
      </c>
      <c r="C98" s="2">
        <v>45829</v>
      </c>
      <c r="D98" s="2">
        <v>45871</v>
      </c>
      <c r="E98">
        <v>20</v>
      </c>
      <c r="F98">
        <v>3</v>
      </c>
      <c r="G98" s="5">
        <v>96.1</v>
      </c>
      <c r="H98" t="s">
        <v>16</v>
      </c>
      <c r="I98" t="s">
        <v>26</v>
      </c>
    </row>
    <row r="99" spans="1:9" x14ac:dyDescent="0.3">
      <c r="A99">
        <v>98</v>
      </c>
      <c r="B99" t="s">
        <v>18</v>
      </c>
      <c r="C99" s="2">
        <v>45845</v>
      </c>
      <c r="D99" s="2">
        <v>45867</v>
      </c>
      <c r="E99">
        <v>7</v>
      </c>
      <c r="F99">
        <v>7</v>
      </c>
      <c r="G99" s="5">
        <v>97.1</v>
      </c>
      <c r="H99" t="s">
        <v>10</v>
      </c>
      <c r="I99" t="s">
        <v>21</v>
      </c>
    </row>
    <row r="100" spans="1:9" x14ac:dyDescent="0.3">
      <c r="A100">
        <v>99</v>
      </c>
      <c r="B100" t="s">
        <v>20</v>
      </c>
      <c r="C100" s="2">
        <v>45802</v>
      </c>
      <c r="D100" s="2">
        <v>45833</v>
      </c>
      <c r="E100">
        <v>11</v>
      </c>
      <c r="F100">
        <v>7</v>
      </c>
      <c r="G100" s="5">
        <v>98.1</v>
      </c>
      <c r="H100" t="s">
        <v>13</v>
      </c>
      <c r="I100" t="s">
        <v>19</v>
      </c>
    </row>
    <row r="101" spans="1:9" x14ac:dyDescent="0.3">
      <c r="A101">
        <v>100</v>
      </c>
      <c r="B101" t="s">
        <v>18</v>
      </c>
      <c r="C101" s="2">
        <v>45845</v>
      </c>
      <c r="D101" s="2">
        <v>45882</v>
      </c>
      <c r="E101">
        <v>35</v>
      </c>
      <c r="F101">
        <v>6</v>
      </c>
      <c r="G101" s="5">
        <v>99.1</v>
      </c>
      <c r="H101" t="s">
        <v>16</v>
      </c>
      <c r="I101" t="s">
        <v>21</v>
      </c>
    </row>
    <row r="102" spans="1:9" x14ac:dyDescent="0.3">
      <c r="A102">
        <v>101</v>
      </c>
      <c r="B102" t="s">
        <v>36</v>
      </c>
      <c r="C102" s="2">
        <v>45831</v>
      </c>
      <c r="D102" s="2">
        <v>45847</v>
      </c>
      <c r="E102">
        <v>22</v>
      </c>
      <c r="F102">
        <v>4</v>
      </c>
      <c r="G102" s="5">
        <v>100.1</v>
      </c>
      <c r="H102" t="s">
        <v>13</v>
      </c>
      <c r="I102" t="s">
        <v>14</v>
      </c>
    </row>
    <row r="103" spans="1:9" x14ac:dyDescent="0.3">
      <c r="A103">
        <v>102</v>
      </c>
      <c r="B103" t="s">
        <v>15</v>
      </c>
      <c r="C103" s="2">
        <v>45835</v>
      </c>
      <c r="D103" s="2">
        <v>45860</v>
      </c>
      <c r="E103">
        <v>7</v>
      </c>
      <c r="F103">
        <v>1</v>
      </c>
      <c r="G103" s="5">
        <v>101.1</v>
      </c>
      <c r="H103" t="s">
        <v>10</v>
      </c>
      <c r="I103" t="s">
        <v>21</v>
      </c>
    </row>
    <row r="104" spans="1:9" x14ac:dyDescent="0.3">
      <c r="A104">
        <v>103</v>
      </c>
      <c r="B104" t="s">
        <v>29</v>
      </c>
      <c r="C104" s="2">
        <v>45832</v>
      </c>
      <c r="D104" s="2">
        <v>45875</v>
      </c>
      <c r="E104">
        <v>49</v>
      </c>
      <c r="F104">
        <v>6</v>
      </c>
      <c r="G104" s="5">
        <v>102.1</v>
      </c>
      <c r="H104" t="s">
        <v>13</v>
      </c>
      <c r="I104" t="s">
        <v>14</v>
      </c>
    </row>
    <row r="105" spans="1:9" x14ac:dyDescent="0.3">
      <c r="A105">
        <v>104</v>
      </c>
      <c r="B105" t="s">
        <v>28</v>
      </c>
      <c r="C105" s="2">
        <v>45844</v>
      </c>
      <c r="D105" s="2">
        <v>45887</v>
      </c>
      <c r="E105">
        <v>25</v>
      </c>
      <c r="F105">
        <v>3</v>
      </c>
      <c r="G105" s="5">
        <v>103.1</v>
      </c>
      <c r="H105" t="s">
        <v>16</v>
      </c>
      <c r="I105" t="s">
        <v>24</v>
      </c>
    </row>
    <row r="106" spans="1:9" x14ac:dyDescent="0.3">
      <c r="A106">
        <v>105</v>
      </c>
      <c r="B106" t="s">
        <v>17</v>
      </c>
      <c r="C106" s="2">
        <v>45841</v>
      </c>
      <c r="D106" s="2">
        <v>45884</v>
      </c>
      <c r="E106">
        <v>22</v>
      </c>
      <c r="F106">
        <v>8</v>
      </c>
      <c r="G106" s="5">
        <v>104.1</v>
      </c>
      <c r="H106" t="s">
        <v>25</v>
      </c>
      <c r="I106" t="s">
        <v>35</v>
      </c>
    </row>
    <row r="107" spans="1:9" x14ac:dyDescent="0.3">
      <c r="A107">
        <v>106</v>
      </c>
      <c r="B107" t="s">
        <v>22</v>
      </c>
      <c r="C107" s="2">
        <v>45827</v>
      </c>
      <c r="D107" s="2">
        <v>45870</v>
      </c>
      <c r="E107">
        <v>47</v>
      </c>
      <c r="F107">
        <v>2</v>
      </c>
      <c r="G107" s="5">
        <v>105.1</v>
      </c>
      <c r="H107" t="s">
        <v>25</v>
      </c>
      <c r="I107" t="s">
        <v>14</v>
      </c>
    </row>
    <row r="108" spans="1:9" x14ac:dyDescent="0.3">
      <c r="A108">
        <v>107</v>
      </c>
      <c r="B108" t="s">
        <v>17</v>
      </c>
      <c r="C108" s="2">
        <v>45834</v>
      </c>
      <c r="D108" s="2">
        <v>45872</v>
      </c>
      <c r="E108">
        <v>40</v>
      </c>
      <c r="F108">
        <v>10</v>
      </c>
      <c r="G108" s="5">
        <v>106.1</v>
      </c>
      <c r="H108" t="s">
        <v>10</v>
      </c>
      <c r="I108" t="s">
        <v>24</v>
      </c>
    </row>
    <row r="109" spans="1:9" x14ac:dyDescent="0.3">
      <c r="A109">
        <v>108</v>
      </c>
      <c r="B109" t="s">
        <v>9</v>
      </c>
      <c r="C109" s="2">
        <v>45840</v>
      </c>
      <c r="D109" s="2">
        <v>45862</v>
      </c>
      <c r="E109">
        <v>58</v>
      </c>
      <c r="F109">
        <v>10</v>
      </c>
      <c r="G109" s="5">
        <v>107.1</v>
      </c>
      <c r="H109" t="s">
        <v>16</v>
      </c>
      <c r="I109" t="s">
        <v>24</v>
      </c>
    </row>
    <row r="110" spans="1:9" x14ac:dyDescent="0.3">
      <c r="A110">
        <v>109</v>
      </c>
      <c r="B110" t="s">
        <v>33</v>
      </c>
      <c r="C110" s="2">
        <v>45806</v>
      </c>
      <c r="D110" s="2">
        <v>45847</v>
      </c>
      <c r="E110">
        <v>14</v>
      </c>
      <c r="F110">
        <v>4</v>
      </c>
      <c r="G110" s="5">
        <v>108.1</v>
      </c>
      <c r="H110" t="s">
        <v>16</v>
      </c>
      <c r="I110" t="s">
        <v>14</v>
      </c>
    </row>
    <row r="111" spans="1:9" x14ac:dyDescent="0.3">
      <c r="A111">
        <v>110</v>
      </c>
      <c r="B111" t="s">
        <v>28</v>
      </c>
      <c r="C111" s="2">
        <v>45818</v>
      </c>
      <c r="D111" s="2">
        <v>45851</v>
      </c>
      <c r="E111">
        <v>53</v>
      </c>
      <c r="F111">
        <v>3</v>
      </c>
      <c r="G111" s="5">
        <v>109.1</v>
      </c>
      <c r="H111" t="s">
        <v>25</v>
      </c>
      <c r="I111" t="s">
        <v>21</v>
      </c>
    </row>
    <row r="112" spans="1:9" x14ac:dyDescent="0.3">
      <c r="A112">
        <v>111</v>
      </c>
      <c r="B112" t="s">
        <v>37</v>
      </c>
      <c r="C112" s="2">
        <v>45839</v>
      </c>
      <c r="D112" s="2">
        <v>45862</v>
      </c>
      <c r="E112">
        <v>47</v>
      </c>
      <c r="F112">
        <v>10</v>
      </c>
      <c r="G112" s="5">
        <v>110.1</v>
      </c>
      <c r="H112" t="s">
        <v>10</v>
      </c>
      <c r="I112" t="s">
        <v>35</v>
      </c>
    </row>
    <row r="113" spans="1:9" x14ac:dyDescent="0.3">
      <c r="A113">
        <v>112</v>
      </c>
      <c r="B113" t="s">
        <v>37</v>
      </c>
      <c r="C113" s="2">
        <v>45813</v>
      </c>
      <c r="D113" s="2">
        <v>45856</v>
      </c>
      <c r="E113">
        <v>31</v>
      </c>
      <c r="F113">
        <v>3</v>
      </c>
      <c r="G113" s="5">
        <v>111.1</v>
      </c>
      <c r="H113" t="s">
        <v>16</v>
      </c>
      <c r="I113" t="s">
        <v>26</v>
      </c>
    </row>
    <row r="114" spans="1:9" x14ac:dyDescent="0.3">
      <c r="A114">
        <v>113</v>
      </c>
      <c r="B114" t="s">
        <v>27</v>
      </c>
      <c r="C114" s="2">
        <v>45806</v>
      </c>
      <c r="D114" s="2">
        <v>45835</v>
      </c>
      <c r="E114">
        <v>10</v>
      </c>
      <c r="F114">
        <v>3</v>
      </c>
      <c r="G114" s="5">
        <v>112.1</v>
      </c>
      <c r="H114" t="s">
        <v>16</v>
      </c>
      <c r="I114" t="s">
        <v>19</v>
      </c>
    </row>
    <row r="115" spans="1:9" x14ac:dyDescent="0.3">
      <c r="A115">
        <v>114</v>
      </c>
      <c r="B115" t="s">
        <v>17</v>
      </c>
      <c r="C115" s="2">
        <v>45816</v>
      </c>
      <c r="D115" s="2">
        <v>45846</v>
      </c>
      <c r="E115">
        <v>33</v>
      </c>
      <c r="F115">
        <v>5</v>
      </c>
      <c r="G115" s="5">
        <v>113.1</v>
      </c>
      <c r="H115" t="s">
        <v>10</v>
      </c>
      <c r="I115" t="s">
        <v>11</v>
      </c>
    </row>
    <row r="116" spans="1:9" x14ac:dyDescent="0.3">
      <c r="A116">
        <v>115</v>
      </c>
      <c r="B116" t="s">
        <v>28</v>
      </c>
      <c r="C116" s="2">
        <v>45826</v>
      </c>
      <c r="D116" s="2">
        <v>45841</v>
      </c>
      <c r="E116">
        <v>59</v>
      </c>
      <c r="F116">
        <v>1</v>
      </c>
      <c r="G116" s="5">
        <v>114.1</v>
      </c>
      <c r="H116" t="s">
        <v>13</v>
      </c>
      <c r="I116" t="s">
        <v>14</v>
      </c>
    </row>
    <row r="117" spans="1:9" x14ac:dyDescent="0.3">
      <c r="A117">
        <v>116</v>
      </c>
      <c r="B117" t="s">
        <v>23</v>
      </c>
      <c r="C117" s="2">
        <v>45807</v>
      </c>
      <c r="D117" s="2">
        <v>45828</v>
      </c>
      <c r="E117">
        <v>41</v>
      </c>
      <c r="F117">
        <v>3</v>
      </c>
      <c r="G117" s="5">
        <v>115.1</v>
      </c>
      <c r="H117" t="s">
        <v>16</v>
      </c>
      <c r="I117" t="s">
        <v>26</v>
      </c>
    </row>
    <row r="118" spans="1:9" x14ac:dyDescent="0.3">
      <c r="A118">
        <v>117</v>
      </c>
      <c r="B118" t="s">
        <v>30</v>
      </c>
      <c r="C118" s="2">
        <v>45807</v>
      </c>
      <c r="D118" s="2">
        <v>45837</v>
      </c>
      <c r="E118">
        <v>24</v>
      </c>
      <c r="F118">
        <v>6</v>
      </c>
      <c r="G118" s="5">
        <v>116.1</v>
      </c>
      <c r="H118" t="s">
        <v>10</v>
      </c>
      <c r="I118" t="s">
        <v>26</v>
      </c>
    </row>
    <row r="119" spans="1:9" x14ac:dyDescent="0.3">
      <c r="A119">
        <v>118</v>
      </c>
      <c r="B119" t="s">
        <v>32</v>
      </c>
      <c r="C119" s="2">
        <v>45822</v>
      </c>
      <c r="D119" s="2">
        <v>45862</v>
      </c>
      <c r="E119">
        <v>36</v>
      </c>
      <c r="F119">
        <v>5</v>
      </c>
      <c r="G119" s="5">
        <v>117.1</v>
      </c>
      <c r="H119" t="s">
        <v>10</v>
      </c>
      <c r="I119" t="s">
        <v>14</v>
      </c>
    </row>
    <row r="120" spans="1:9" x14ac:dyDescent="0.3">
      <c r="A120">
        <v>119</v>
      </c>
      <c r="B120" t="s">
        <v>27</v>
      </c>
      <c r="C120" s="2">
        <v>45831</v>
      </c>
      <c r="D120" s="2">
        <v>45874</v>
      </c>
      <c r="E120">
        <v>42</v>
      </c>
      <c r="F120">
        <v>10</v>
      </c>
      <c r="G120" s="5">
        <v>118.1</v>
      </c>
      <c r="H120" t="s">
        <v>13</v>
      </c>
      <c r="I120" t="s">
        <v>26</v>
      </c>
    </row>
    <row r="121" spans="1:9" x14ac:dyDescent="0.3">
      <c r="A121">
        <v>120</v>
      </c>
      <c r="B121" t="s">
        <v>34</v>
      </c>
      <c r="C121" s="2">
        <v>45817</v>
      </c>
      <c r="D121" s="2">
        <v>45839</v>
      </c>
      <c r="E121">
        <v>18</v>
      </c>
      <c r="F121">
        <v>7</v>
      </c>
      <c r="G121" s="5">
        <v>119.1</v>
      </c>
      <c r="H121" t="s">
        <v>10</v>
      </c>
      <c r="I121" t="s">
        <v>14</v>
      </c>
    </row>
    <row r="122" spans="1:9" x14ac:dyDescent="0.3">
      <c r="A122">
        <v>121</v>
      </c>
      <c r="B122" t="s">
        <v>32</v>
      </c>
      <c r="C122" s="2">
        <v>45846</v>
      </c>
      <c r="D122" s="2">
        <v>45887</v>
      </c>
      <c r="E122">
        <v>40</v>
      </c>
      <c r="F122">
        <v>4</v>
      </c>
      <c r="G122" s="5">
        <v>120.1</v>
      </c>
      <c r="H122" t="s">
        <v>25</v>
      </c>
      <c r="I122" t="s">
        <v>35</v>
      </c>
    </row>
    <row r="123" spans="1:9" x14ac:dyDescent="0.3">
      <c r="A123">
        <v>122</v>
      </c>
      <c r="B123" t="s">
        <v>15</v>
      </c>
      <c r="C123" s="2">
        <v>45803</v>
      </c>
      <c r="D123" s="2">
        <v>45837</v>
      </c>
      <c r="E123">
        <v>25</v>
      </c>
      <c r="F123">
        <v>3</v>
      </c>
      <c r="G123" s="5">
        <v>121.1</v>
      </c>
      <c r="H123" t="s">
        <v>13</v>
      </c>
      <c r="I123" t="s">
        <v>26</v>
      </c>
    </row>
    <row r="124" spans="1:9" x14ac:dyDescent="0.3">
      <c r="A124">
        <v>123</v>
      </c>
      <c r="B124" t="s">
        <v>30</v>
      </c>
      <c r="C124" s="2">
        <v>45805</v>
      </c>
      <c r="D124" s="2">
        <v>45835</v>
      </c>
      <c r="E124">
        <v>10</v>
      </c>
      <c r="F124">
        <v>3</v>
      </c>
      <c r="G124" s="5">
        <v>122.1</v>
      </c>
      <c r="H124" t="s">
        <v>13</v>
      </c>
      <c r="I124" t="s">
        <v>19</v>
      </c>
    </row>
    <row r="125" spans="1:9" x14ac:dyDescent="0.3">
      <c r="A125">
        <v>124</v>
      </c>
      <c r="B125" t="s">
        <v>31</v>
      </c>
      <c r="C125" s="2">
        <v>45839</v>
      </c>
      <c r="D125" s="2">
        <v>45866</v>
      </c>
      <c r="E125">
        <v>19</v>
      </c>
      <c r="F125">
        <v>2</v>
      </c>
      <c r="G125" s="5">
        <v>123.1</v>
      </c>
      <c r="H125" t="s">
        <v>16</v>
      </c>
      <c r="I125" t="s">
        <v>19</v>
      </c>
    </row>
    <row r="126" spans="1:9" x14ac:dyDescent="0.3">
      <c r="A126">
        <v>125</v>
      </c>
      <c r="B126" t="s">
        <v>32</v>
      </c>
      <c r="C126" s="2">
        <v>45831</v>
      </c>
      <c r="D126" s="2">
        <v>45863</v>
      </c>
      <c r="E126">
        <v>46</v>
      </c>
      <c r="F126">
        <v>8</v>
      </c>
      <c r="G126" s="5">
        <v>124.1</v>
      </c>
      <c r="H126" t="s">
        <v>16</v>
      </c>
      <c r="I126" t="s">
        <v>11</v>
      </c>
    </row>
    <row r="127" spans="1:9" x14ac:dyDescent="0.3">
      <c r="A127">
        <v>126</v>
      </c>
      <c r="B127" t="s">
        <v>29</v>
      </c>
      <c r="C127" s="2">
        <v>45842</v>
      </c>
      <c r="D127" s="2">
        <v>45883</v>
      </c>
      <c r="E127">
        <v>45</v>
      </c>
      <c r="F127">
        <v>5</v>
      </c>
      <c r="G127" s="5">
        <v>125.1</v>
      </c>
      <c r="H127" t="s">
        <v>10</v>
      </c>
      <c r="I127" t="s">
        <v>35</v>
      </c>
    </row>
    <row r="128" spans="1:9" x14ac:dyDescent="0.3">
      <c r="A128">
        <v>127</v>
      </c>
      <c r="B128" t="s">
        <v>23</v>
      </c>
      <c r="C128" s="2">
        <v>45813</v>
      </c>
      <c r="D128" s="2">
        <v>45858</v>
      </c>
      <c r="E128">
        <v>46</v>
      </c>
      <c r="F128">
        <v>5</v>
      </c>
      <c r="G128" s="5">
        <v>126.1</v>
      </c>
      <c r="H128" t="s">
        <v>13</v>
      </c>
      <c r="I128" t="s">
        <v>14</v>
      </c>
    </row>
    <row r="129" spans="1:9" x14ac:dyDescent="0.3">
      <c r="A129">
        <v>128</v>
      </c>
      <c r="B129" t="s">
        <v>27</v>
      </c>
      <c r="C129" s="2">
        <v>45828</v>
      </c>
      <c r="D129" s="2">
        <v>45867</v>
      </c>
      <c r="E129">
        <v>36</v>
      </c>
      <c r="F129">
        <v>8</v>
      </c>
      <c r="G129" s="5">
        <v>127.1</v>
      </c>
      <c r="H129" t="s">
        <v>25</v>
      </c>
      <c r="I129" t="s">
        <v>26</v>
      </c>
    </row>
    <row r="130" spans="1:9" x14ac:dyDescent="0.3">
      <c r="A130">
        <v>129</v>
      </c>
      <c r="B130" t="s">
        <v>20</v>
      </c>
      <c r="C130" s="2">
        <v>45803</v>
      </c>
      <c r="D130" s="2">
        <v>45830</v>
      </c>
      <c r="E130">
        <v>52</v>
      </c>
      <c r="F130">
        <v>3</v>
      </c>
      <c r="G130" s="5">
        <v>128.1</v>
      </c>
      <c r="H130" t="s">
        <v>13</v>
      </c>
      <c r="I130" t="s">
        <v>21</v>
      </c>
    </row>
    <row r="131" spans="1:9" x14ac:dyDescent="0.3">
      <c r="A131">
        <v>130</v>
      </c>
      <c r="B131" t="s">
        <v>23</v>
      </c>
      <c r="C131" s="2">
        <v>45828</v>
      </c>
      <c r="D131" s="2">
        <v>45873</v>
      </c>
      <c r="E131">
        <v>32</v>
      </c>
      <c r="F131">
        <v>2</v>
      </c>
      <c r="G131" s="5">
        <v>129.1</v>
      </c>
      <c r="H131" t="s">
        <v>25</v>
      </c>
      <c r="I131" t="s">
        <v>11</v>
      </c>
    </row>
    <row r="132" spans="1:9" x14ac:dyDescent="0.3">
      <c r="A132">
        <v>131</v>
      </c>
      <c r="B132" t="s">
        <v>29</v>
      </c>
      <c r="C132" s="2">
        <v>45810</v>
      </c>
      <c r="D132" s="2">
        <v>45842</v>
      </c>
      <c r="E132">
        <v>23</v>
      </c>
      <c r="F132">
        <v>6</v>
      </c>
      <c r="G132" s="5">
        <v>130.1</v>
      </c>
      <c r="H132" t="s">
        <v>10</v>
      </c>
      <c r="I132" t="s">
        <v>35</v>
      </c>
    </row>
    <row r="133" spans="1:9" x14ac:dyDescent="0.3">
      <c r="A133">
        <v>132</v>
      </c>
      <c r="B133" t="s">
        <v>37</v>
      </c>
      <c r="C133" s="2">
        <v>45836</v>
      </c>
      <c r="D133" s="2">
        <v>45867</v>
      </c>
      <c r="E133">
        <v>52</v>
      </c>
      <c r="F133">
        <v>2</v>
      </c>
      <c r="G133" s="5">
        <v>131.1</v>
      </c>
      <c r="H133" t="s">
        <v>13</v>
      </c>
      <c r="I133" t="s">
        <v>26</v>
      </c>
    </row>
    <row r="134" spans="1:9" x14ac:dyDescent="0.3">
      <c r="A134">
        <v>133</v>
      </c>
      <c r="B134" t="s">
        <v>31</v>
      </c>
      <c r="C134" s="2">
        <v>45836</v>
      </c>
      <c r="D134" s="2">
        <v>45853</v>
      </c>
      <c r="E134">
        <v>19</v>
      </c>
      <c r="F134">
        <v>2</v>
      </c>
      <c r="G134" s="5">
        <v>132.1</v>
      </c>
      <c r="H134" t="s">
        <v>25</v>
      </c>
      <c r="I134" t="s">
        <v>14</v>
      </c>
    </row>
    <row r="135" spans="1:9" x14ac:dyDescent="0.3">
      <c r="A135">
        <v>134</v>
      </c>
      <c r="B135" t="s">
        <v>27</v>
      </c>
      <c r="C135" s="2">
        <v>45842</v>
      </c>
      <c r="D135" s="2">
        <v>45861</v>
      </c>
      <c r="E135">
        <v>5</v>
      </c>
      <c r="F135">
        <v>4</v>
      </c>
      <c r="G135" s="5">
        <v>133.1</v>
      </c>
      <c r="H135" t="s">
        <v>25</v>
      </c>
      <c r="I135" t="s">
        <v>21</v>
      </c>
    </row>
    <row r="136" spans="1:9" x14ac:dyDescent="0.3">
      <c r="A136">
        <v>135</v>
      </c>
      <c r="B136" t="s">
        <v>32</v>
      </c>
      <c r="C136" s="2">
        <v>45814</v>
      </c>
      <c r="D136" s="2">
        <v>45844</v>
      </c>
      <c r="E136">
        <v>19</v>
      </c>
      <c r="F136">
        <v>3</v>
      </c>
      <c r="G136" s="5">
        <v>134.1</v>
      </c>
      <c r="H136" t="s">
        <v>13</v>
      </c>
      <c r="I136" t="s">
        <v>11</v>
      </c>
    </row>
    <row r="137" spans="1:9" x14ac:dyDescent="0.3">
      <c r="A137">
        <v>136</v>
      </c>
      <c r="B137" t="s">
        <v>28</v>
      </c>
      <c r="C137" s="2">
        <v>45835</v>
      </c>
      <c r="D137" s="2">
        <v>45873</v>
      </c>
      <c r="E137">
        <v>5</v>
      </c>
      <c r="F137">
        <v>5</v>
      </c>
      <c r="G137" s="5">
        <v>135.1</v>
      </c>
      <c r="H137" t="s">
        <v>10</v>
      </c>
      <c r="I137" t="s">
        <v>14</v>
      </c>
    </row>
    <row r="138" spans="1:9" x14ac:dyDescent="0.3">
      <c r="A138">
        <v>137</v>
      </c>
      <c r="B138" t="s">
        <v>34</v>
      </c>
      <c r="C138" s="2">
        <v>45815</v>
      </c>
      <c r="D138" s="2">
        <v>45835</v>
      </c>
      <c r="E138">
        <v>27</v>
      </c>
      <c r="F138">
        <v>2</v>
      </c>
      <c r="G138" s="5">
        <v>136.1</v>
      </c>
      <c r="H138" t="s">
        <v>13</v>
      </c>
      <c r="I138" t="s">
        <v>14</v>
      </c>
    </row>
    <row r="139" spans="1:9" x14ac:dyDescent="0.3">
      <c r="A139">
        <v>138</v>
      </c>
      <c r="B139" t="s">
        <v>34</v>
      </c>
      <c r="C139" s="2">
        <v>45845</v>
      </c>
      <c r="D139" s="2">
        <v>45872</v>
      </c>
      <c r="E139">
        <v>50</v>
      </c>
      <c r="F139">
        <v>1</v>
      </c>
      <c r="G139" s="5">
        <v>137.1</v>
      </c>
      <c r="H139" t="s">
        <v>13</v>
      </c>
      <c r="I139" t="s">
        <v>14</v>
      </c>
    </row>
    <row r="140" spans="1:9" x14ac:dyDescent="0.3">
      <c r="A140">
        <v>139</v>
      </c>
      <c r="B140" t="s">
        <v>9</v>
      </c>
      <c r="C140" s="2">
        <v>45817</v>
      </c>
      <c r="D140" s="2">
        <v>45851</v>
      </c>
      <c r="E140">
        <v>14</v>
      </c>
      <c r="F140">
        <v>8</v>
      </c>
      <c r="G140" s="5">
        <v>138.1</v>
      </c>
      <c r="H140" t="s">
        <v>25</v>
      </c>
      <c r="I140" t="s">
        <v>19</v>
      </c>
    </row>
    <row r="141" spans="1:9" x14ac:dyDescent="0.3">
      <c r="A141">
        <v>140</v>
      </c>
      <c r="B141" t="s">
        <v>37</v>
      </c>
      <c r="C141" s="2">
        <v>45816</v>
      </c>
      <c r="D141" s="2">
        <v>45854</v>
      </c>
      <c r="E141">
        <v>28</v>
      </c>
      <c r="F141">
        <v>5</v>
      </c>
      <c r="G141" s="5">
        <v>139.1</v>
      </c>
      <c r="H141" t="s">
        <v>16</v>
      </c>
      <c r="I141" t="s">
        <v>11</v>
      </c>
    </row>
    <row r="142" spans="1:9" x14ac:dyDescent="0.3">
      <c r="A142">
        <v>141</v>
      </c>
      <c r="B142" t="s">
        <v>18</v>
      </c>
      <c r="C142" s="2">
        <v>45835</v>
      </c>
      <c r="D142" s="2">
        <v>45877</v>
      </c>
      <c r="E142">
        <v>50</v>
      </c>
      <c r="F142">
        <v>7</v>
      </c>
      <c r="G142" s="5">
        <v>140.1</v>
      </c>
      <c r="H142" t="s">
        <v>16</v>
      </c>
      <c r="I142" t="s">
        <v>14</v>
      </c>
    </row>
    <row r="143" spans="1:9" x14ac:dyDescent="0.3">
      <c r="A143">
        <v>142</v>
      </c>
      <c r="B143" t="s">
        <v>37</v>
      </c>
      <c r="C143" s="2">
        <v>45844</v>
      </c>
      <c r="D143" s="2">
        <v>45872</v>
      </c>
      <c r="E143">
        <v>39</v>
      </c>
      <c r="F143">
        <v>5</v>
      </c>
      <c r="G143" s="5">
        <v>141.1</v>
      </c>
      <c r="H143" t="s">
        <v>10</v>
      </c>
      <c r="I143" t="s">
        <v>24</v>
      </c>
    </row>
    <row r="144" spans="1:9" x14ac:dyDescent="0.3">
      <c r="A144">
        <v>143</v>
      </c>
      <c r="B144" t="s">
        <v>22</v>
      </c>
      <c r="C144" s="2">
        <v>45804</v>
      </c>
      <c r="D144" s="2">
        <v>45825</v>
      </c>
      <c r="E144">
        <v>37</v>
      </c>
      <c r="F144">
        <v>7</v>
      </c>
      <c r="G144" s="5">
        <v>142.1</v>
      </c>
      <c r="H144" t="s">
        <v>13</v>
      </c>
      <c r="I144" t="s">
        <v>26</v>
      </c>
    </row>
    <row r="145" spans="1:9" x14ac:dyDescent="0.3">
      <c r="A145">
        <v>144</v>
      </c>
      <c r="B145" t="s">
        <v>20</v>
      </c>
      <c r="C145" s="2">
        <v>45844</v>
      </c>
      <c r="D145" s="2">
        <v>45878</v>
      </c>
      <c r="E145">
        <v>56</v>
      </c>
      <c r="F145">
        <v>9</v>
      </c>
      <c r="G145" s="5">
        <v>143.1</v>
      </c>
      <c r="H145" t="s">
        <v>25</v>
      </c>
      <c r="I145" t="s">
        <v>19</v>
      </c>
    </row>
    <row r="146" spans="1:9" x14ac:dyDescent="0.3">
      <c r="A146">
        <v>145</v>
      </c>
      <c r="B146" t="s">
        <v>27</v>
      </c>
      <c r="C146" s="2">
        <v>45802</v>
      </c>
      <c r="D146" s="2">
        <v>45821</v>
      </c>
      <c r="E146">
        <v>23</v>
      </c>
      <c r="F146">
        <v>10</v>
      </c>
      <c r="G146" s="5">
        <v>144.1</v>
      </c>
      <c r="H146" t="s">
        <v>13</v>
      </c>
      <c r="I146" t="s">
        <v>14</v>
      </c>
    </row>
    <row r="147" spans="1:9" x14ac:dyDescent="0.3">
      <c r="A147">
        <v>146</v>
      </c>
      <c r="B147" t="s">
        <v>34</v>
      </c>
      <c r="C147" s="2">
        <v>45822</v>
      </c>
      <c r="D147" s="2">
        <v>45860</v>
      </c>
      <c r="E147">
        <v>35</v>
      </c>
      <c r="F147">
        <v>9</v>
      </c>
      <c r="G147" s="5">
        <v>145.1</v>
      </c>
      <c r="H147" t="s">
        <v>10</v>
      </c>
      <c r="I147" t="s">
        <v>26</v>
      </c>
    </row>
    <row r="148" spans="1:9" x14ac:dyDescent="0.3">
      <c r="A148">
        <v>147</v>
      </c>
      <c r="B148" t="s">
        <v>23</v>
      </c>
      <c r="C148" s="2">
        <v>45817</v>
      </c>
      <c r="D148" s="2">
        <v>45840</v>
      </c>
      <c r="E148">
        <v>36</v>
      </c>
      <c r="F148">
        <v>6</v>
      </c>
      <c r="G148" s="5">
        <v>146.1</v>
      </c>
      <c r="H148" t="s">
        <v>16</v>
      </c>
      <c r="I148" t="s">
        <v>35</v>
      </c>
    </row>
    <row r="149" spans="1:9" x14ac:dyDescent="0.3">
      <c r="A149">
        <v>148</v>
      </c>
      <c r="B149" t="s">
        <v>23</v>
      </c>
      <c r="C149" s="2">
        <v>45843</v>
      </c>
      <c r="D149" s="2">
        <v>45862</v>
      </c>
      <c r="E149">
        <v>20</v>
      </c>
      <c r="F149">
        <v>4</v>
      </c>
      <c r="G149" s="5">
        <v>147.1</v>
      </c>
      <c r="H149" t="s">
        <v>16</v>
      </c>
      <c r="I149" t="s">
        <v>26</v>
      </c>
    </row>
    <row r="150" spans="1:9" x14ac:dyDescent="0.3">
      <c r="A150">
        <v>149</v>
      </c>
      <c r="B150" t="s">
        <v>12</v>
      </c>
      <c r="C150" s="2">
        <v>45826</v>
      </c>
      <c r="D150" s="2">
        <v>45864</v>
      </c>
      <c r="E150">
        <v>8</v>
      </c>
      <c r="F150">
        <v>8</v>
      </c>
      <c r="G150" s="5">
        <v>148.1</v>
      </c>
      <c r="H150" t="s">
        <v>25</v>
      </c>
      <c r="I150" t="s">
        <v>24</v>
      </c>
    </row>
    <row r="151" spans="1:9" x14ac:dyDescent="0.3">
      <c r="A151">
        <v>150</v>
      </c>
      <c r="B151" t="s">
        <v>34</v>
      </c>
      <c r="C151" s="2">
        <v>45841</v>
      </c>
      <c r="D151" s="2">
        <v>45883</v>
      </c>
      <c r="E151">
        <v>41</v>
      </c>
      <c r="F151">
        <v>7</v>
      </c>
      <c r="G151" s="5">
        <v>149.1</v>
      </c>
      <c r="H151" t="s">
        <v>16</v>
      </c>
      <c r="I151" t="s">
        <v>26</v>
      </c>
    </row>
    <row r="152" spans="1:9" x14ac:dyDescent="0.3">
      <c r="A152">
        <v>151</v>
      </c>
      <c r="B152" t="s">
        <v>36</v>
      </c>
      <c r="C152" s="2">
        <v>45803</v>
      </c>
      <c r="D152" s="2">
        <v>45832</v>
      </c>
      <c r="E152">
        <v>20</v>
      </c>
      <c r="F152">
        <v>10</v>
      </c>
      <c r="G152" s="5">
        <v>150.1</v>
      </c>
      <c r="H152" t="s">
        <v>13</v>
      </c>
      <c r="I152" t="s">
        <v>24</v>
      </c>
    </row>
    <row r="153" spans="1:9" x14ac:dyDescent="0.3">
      <c r="A153">
        <v>152</v>
      </c>
      <c r="B153" t="s">
        <v>32</v>
      </c>
      <c r="C153" s="2">
        <v>45815</v>
      </c>
      <c r="D153" s="2">
        <v>45845</v>
      </c>
      <c r="E153">
        <v>48</v>
      </c>
      <c r="F153">
        <v>1</v>
      </c>
      <c r="G153" s="5">
        <v>151.1</v>
      </c>
      <c r="H153" t="s">
        <v>25</v>
      </c>
      <c r="I153" t="s">
        <v>35</v>
      </c>
    </row>
    <row r="154" spans="1:9" x14ac:dyDescent="0.3">
      <c r="A154">
        <v>153</v>
      </c>
      <c r="B154" t="s">
        <v>23</v>
      </c>
      <c r="C154" s="2">
        <v>45807</v>
      </c>
      <c r="D154" s="2">
        <v>45837</v>
      </c>
      <c r="E154">
        <v>14</v>
      </c>
      <c r="F154">
        <v>1</v>
      </c>
      <c r="G154" s="5">
        <v>152.1</v>
      </c>
      <c r="H154" t="s">
        <v>16</v>
      </c>
      <c r="I154" t="s">
        <v>19</v>
      </c>
    </row>
    <row r="155" spans="1:9" x14ac:dyDescent="0.3">
      <c r="A155">
        <v>154</v>
      </c>
      <c r="B155" t="s">
        <v>9</v>
      </c>
      <c r="C155" s="2">
        <v>45835</v>
      </c>
      <c r="D155" s="2">
        <v>45863</v>
      </c>
      <c r="E155">
        <v>15</v>
      </c>
      <c r="F155">
        <v>5</v>
      </c>
      <c r="G155" s="5">
        <v>153.1</v>
      </c>
      <c r="H155" t="s">
        <v>13</v>
      </c>
      <c r="I155" t="s">
        <v>19</v>
      </c>
    </row>
    <row r="156" spans="1:9" x14ac:dyDescent="0.3">
      <c r="A156">
        <v>155</v>
      </c>
      <c r="B156" t="s">
        <v>20</v>
      </c>
      <c r="C156" s="2">
        <v>45838</v>
      </c>
      <c r="D156" s="2">
        <v>45863</v>
      </c>
      <c r="E156">
        <v>19</v>
      </c>
      <c r="F156">
        <v>3</v>
      </c>
      <c r="G156" s="5">
        <v>154.1</v>
      </c>
      <c r="H156" t="s">
        <v>10</v>
      </c>
      <c r="I156" t="s">
        <v>26</v>
      </c>
    </row>
    <row r="157" spans="1:9" x14ac:dyDescent="0.3">
      <c r="A157">
        <v>156</v>
      </c>
      <c r="B157" t="s">
        <v>32</v>
      </c>
      <c r="C157" s="2">
        <v>45809</v>
      </c>
      <c r="D157" s="2">
        <v>45827</v>
      </c>
      <c r="E157">
        <v>8</v>
      </c>
      <c r="F157">
        <v>5</v>
      </c>
      <c r="G157" s="5">
        <v>155.1</v>
      </c>
      <c r="H157" t="s">
        <v>25</v>
      </c>
      <c r="I157" t="s">
        <v>35</v>
      </c>
    </row>
    <row r="158" spans="1:9" x14ac:dyDescent="0.3">
      <c r="A158">
        <v>157</v>
      </c>
      <c r="B158" t="s">
        <v>33</v>
      </c>
      <c r="C158" s="2">
        <v>45803</v>
      </c>
      <c r="D158" s="2">
        <v>45826</v>
      </c>
      <c r="E158">
        <v>18</v>
      </c>
      <c r="F158">
        <v>3</v>
      </c>
      <c r="G158" s="5">
        <v>156.1</v>
      </c>
      <c r="H158" t="s">
        <v>13</v>
      </c>
      <c r="I158" t="s">
        <v>14</v>
      </c>
    </row>
    <row r="159" spans="1:9" x14ac:dyDescent="0.3">
      <c r="A159">
        <v>158</v>
      </c>
      <c r="B159" t="s">
        <v>17</v>
      </c>
      <c r="C159" s="2">
        <v>45844</v>
      </c>
      <c r="D159" s="2">
        <v>45866</v>
      </c>
      <c r="E159">
        <v>13</v>
      </c>
      <c r="F159">
        <v>2</v>
      </c>
      <c r="G159" s="5">
        <v>157.1</v>
      </c>
      <c r="H159" t="s">
        <v>25</v>
      </c>
      <c r="I159" t="s">
        <v>11</v>
      </c>
    </row>
    <row r="160" spans="1:9" x14ac:dyDescent="0.3">
      <c r="A160">
        <v>159</v>
      </c>
      <c r="B160" t="s">
        <v>23</v>
      </c>
      <c r="C160" s="2">
        <v>45803</v>
      </c>
      <c r="D160" s="2">
        <v>45832</v>
      </c>
      <c r="E160">
        <v>42</v>
      </c>
      <c r="F160">
        <v>2</v>
      </c>
      <c r="G160" s="5">
        <v>158.1</v>
      </c>
      <c r="H160" t="s">
        <v>10</v>
      </c>
      <c r="I160" t="s">
        <v>35</v>
      </c>
    </row>
    <row r="161" spans="1:9" x14ac:dyDescent="0.3">
      <c r="A161">
        <v>160</v>
      </c>
      <c r="B161" t="s">
        <v>29</v>
      </c>
      <c r="C161" s="2">
        <v>45814</v>
      </c>
      <c r="D161" s="2">
        <v>45853</v>
      </c>
      <c r="E161">
        <v>27</v>
      </c>
      <c r="F161">
        <v>6</v>
      </c>
      <c r="G161" s="5">
        <v>159.1</v>
      </c>
      <c r="H161" t="s">
        <v>16</v>
      </c>
      <c r="I161" t="s">
        <v>14</v>
      </c>
    </row>
    <row r="162" spans="1:9" x14ac:dyDescent="0.3">
      <c r="A162">
        <v>161</v>
      </c>
      <c r="B162" t="s">
        <v>22</v>
      </c>
      <c r="C162" s="2">
        <v>45831</v>
      </c>
      <c r="D162" s="2">
        <v>45864</v>
      </c>
      <c r="E162">
        <v>55</v>
      </c>
      <c r="F162">
        <v>4</v>
      </c>
      <c r="G162" s="5">
        <v>160.1</v>
      </c>
      <c r="H162" t="s">
        <v>25</v>
      </c>
      <c r="I162" t="s">
        <v>24</v>
      </c>
    </row>
    <row r="163" spans="1:9" x14ac:dyDescent="0.3">
      <c r="A163">
        <v>162</v>
      </c>
      <c r="B163" t="s">
        <v>18</v>
      </c>
      <c r="C163" s="2">
        <v>45807</v>
      </c>
      <c r="D163" s="2">
        <v>45839</v>
      </c>
      <c r="E163">
        <v>18</v>
      </c>
      <c r="F163">
        <v>10</v>
      </c>
      <c r="G163" s="5">
        <v>161.1</v>
      </c>
      <c r="H163" t="s">
        <v>10</v>
      </c>
      <c r="I163" t="s">
        <v>11</v>
      </c>
    </row>
    <row r="164" spans="1:9" x14ac:dyDescent="0.3">
      <c r="A164">
        <v>163</v>
      </c>
      <c r="B164" t="s">
        <v>34</v>
      </c>
      <c r="C164" s="2">
        <v>45832</v>
      </c>
      <c r="D164" s="2">
        <v>45871</v>
      </c>
      <c r="E164">
        <v>25</v>
      </c>
      <c r="F164">
        <v>5</v>
      </c>
      <c r="G164" s="5">
        <v>162.1</v>
      </c>
      <c r="H164" t="s">
        <v>10</v>
      </c>
      <c r="I164" t="s">
        <v>24</v>
      </c>
    </row>
    <row r="165" spans="1:9" x14ac:dyDescent="0.3">
      <c r="A165">
        <v>164</v>
      </c>
      <c r="B165" t="s">
        <v>12</v>
      </c>
      <c r="C165" s="2">
        <v>45818</v>
      </c>
      <c r="D165" s="2">
        <v>45844</v>
      </c>
      <c r="E165">
        <v>22</v>
      </c>
      <c r="F165">
        <v>7</v>
      </c>
      <c r="G165" s="5">
        <v>163.1</v>
      </c>
      <c r="H165" t="s">
        <v>10</v>
      </c>
      <c r="I165" t="s">
        <v>21</v>
      </c>
    </row>
    <row r="166" spans="1:9" x14ac:dyDescent="0.3">
      <c r="A166">
        <v>165</v>
      </c>
      <c r="B166" t="s">
        <v>22</v>
      </c>
      <c r="C166" s="2">
        <v>45835</v>
      </c>
      <c r="D166" s="2">
        <v>45861</v>
      </c>
      <c r="E166">
        <v>18</v>
      </c>
      <c r="F166">
        <v>7</v>
      </c>
      <c r="G166" s="5">
        <v>164.1</v>
      </c>
      <c r="H166" t="s">
        <v>16</v>
      </c>
      <c r="I166" t="s">
        <v>26</v>
      </c>
    </row>
    <row r="167" spans="1:9" x14ac:dyDescent="0.3">
      <c r="A167">
        <v>166</v>
      </c>
      <c r="B167" t="s">
        <v>28</v>
      </c>
      <c r="C167" s="2">
        <v>45812</v>
      </c>
      <c r="D167" s="2">
        <v>45838</v>
      </c>
      <c r="E167">
        <v>36</v>
      </c>
      <c r="F167">
        <v>8</v>
      </c>
      <c r="G167" s="5">
        <v>165.1</v>
      </c>
      <c r="H167" t="s">
        <v>25</v>
      </c>
      <c r="I167" t="s">
        <v>24</v>
      </c>
    </row>
    <row r="168" spans="1:9" x14ac:dyDescent="0.3">
      <c r="A168">
        <v>167</v>
      </c>
      <c r="B168" t="s">
        <v>32</v>
      </c>
      <c r="C168" s="2">
        <v>45830</v>
      </c>
      <c r="D168" s="2">
        <v>45867</v>
      </c>
      <c r="E168">
        <v>5</v>
      </c>
      <c r="F168">
        <v>4</v>
      </c>
      <c r="G168" s="5">
        <v>166.1</v>
      </c>
      <c r="H168" t="s">
        <v>10</v>
      </c>
      <c r="I168" t="s">
        <v>26</v>
      </c>
    </row>
    <row r="169" spans="1:9" x14ac:dyDescent="0.3">
      <c r="A169">
        <v>168</v>
      </c>
      <c r="B169" t="s">
        <v>20</v>
      </c>
      <c r="C169" s="2">
        <v>45838</v>
      </c>
      <c r="D169" s="2">
        <v>45871</v>
      </c>
      <c r="E169">
        <v>26</v>
      </c>
      <c r="F169">
        <v>10</v>
      </c>
      <c r="G169" s="5">
        <v>167.1</v>
      </c>
      <c r="H169" t="s">
        <v>16</v>
      </c>
      <c r="I169" t="s">
        <v>26</v>
      </c>
    </row>
    <row r="170" spans="1:9" x14ac:dyDescent="0.3">
      <c r="A170">
        <v>169</v>
      </c>
      <c r="B170" t="s">
        <v>20</v>
      </c>
      <c r="C170" s="2">
        <v>45803</v>
      </c>
      <c r="D170" s="2">
        <v>45847</v>
      </c>
      <c r="E170">
        <v>41</v>
      </c>
      <c r="F170">
        <v>9</v>
      </c>
      <c r="G170" s="5">
        <v>168.1</v>
      </c>
      <c r="H170" t="s">
        <v>25</v>
      </c>
      <c r="I170" t="s">
        <v>35</v>
      </c>
    </row>
    <row r="171" spans="1:9" x14ac:dyDescent="0.3">
      <c r="A171">
        <v>170</v>
      </c>
      <c r="B171" t="s">
        <v>33</v>
      </c>
      <c r="C171" s="2">
        <v>45820</v>
      </c>
      <c r="D171" s="2">
        <v>45856</v>
      </c>
      <c r="E171">
        <v>49</v>
      </c>
      <c r="F171">
        <v>4</v>
      </c>
      <c r="G171" s="5">
        <v>169.1</v>
      </c>
      <c r="H171" t="s">
        <v>10</v>
      </c>
      <c r="I171" t="s">
        <v>21</v>
      </c>
    </row>
    <row r="172" spans="1:9" x14ac:dyDescent="0.3">
      <c r="A172">
        <v>171</v>
      </c>
      <c r="B172" t="s">
        <v>32</v>
      </c>
      <c r="C172" s="2">
        <v>45822</v>
      </c>
      <c r="D172" s="2">
        <v>45861</v>
      </c>
      <c r="E172">
        <v>52</v>
      </c>
      <c r="F172">
        <v>4</v>
      </c>
      <c r="G172" s="5">
        <v>170.1</v>
      </c>
      <c r="H172" t="s">
        <v>13</v>
      </c>
      <c r="I172" t="s">
        <v>26</v>
      </c>
    </row>
    <row r="173" spans="1:9" x14ac:dyDescent="0.3">
      <c r="A173">
        <v>172</v>
      </c>
      <c r="B173" t="s">
        <v>27</v>
      </c>
      <c r="C173" s="2">
        <v>45843</v>
      </c>
      <c r="D173" s="2">
        <v>45882</v>
      </c>
      <c r="E173">
        <v>31</v>
      </c>
      <c r="F173">
        <v>7</v>
      </c>
      <c r="G173" s="5">
        <v>171.1</v>
      </c>
      <c r="H173" t="s">
        <v>10</v>
      </c>
      <c r="I173" t="s">
        <v>26</v>
      </c>
    </row>
    <row r="174" spans="1:9" x14ac:dyDescent="0.3">
      <c r="A174">
        <v>173</v>
      </c>
      <c r="B174" t="s">
        <v>30</v>
      </c>
      <c r="C174" s="2">
        <v>45818</v>
      </c>
      <c r="D174" s="2">
        <v>45857</v>
      </c>
      <c r="E174">
        <v>46</v>
      </c>
      <c r="F174">
        <v>9</v>
      </c>
      <c r="G174" s="5">
        <v>172.1</v>
      </c>
      <c r="H174" t="s">
        <v>16</v>
      </c>
      <c r="I174" t="s">
        <v>19</v>
      </c>
    </row>
    <row r="175" spans="1:9" x14ac:dyDescent="0.3">
      <c r="A175">
        <v>174</v>
      </c>
      <c r="B175" t="s">
        <v>32</v>
      </c>
      <c r="C175" s="2">
        <v>45842</v>
      </c>
      <c r="D175" s="2">
        <v>45866</v>
      </c>
      <c r="E175">
        <v>33</v>
      </c>
      <c r="F175">
        <v>8</v>
      </c>
      <c r="G175" s="5">
        <v>173.1</v>
      </c>
      <c r="H175" t="s">
        <v>10</v>
      </c>
      <c r="I175" t="s">
        <v>21</v>
      </c>
    </row>
    <row r="176" spans="1:9" x14ac:dyDescent="0.3">
      <c r="A176">
        <v>175</v>
      </c>
      <c r="B176" t="s">
        <v>9</v>
      </c>
      <c r="C176" s="2">
        <v>45815</v>
      </c>
      <c r="D176" s="2">
        <v>45847</v>
      </c>
      <c r="E176">
        <v>13</v>
      </c>
      <c r="F176">
        <v>8</v>
      </c>
      <c r="G176" s="5">
        <v>174.1</v>
      </c>
      <c r="H176" t="s">
        <v>10</v>
      </c>
      <c r="I176" t="s">
        <v>19</v>
      </c>
    </row>
    <row r="177" spans="1:9" x14ac:dyDescent="0.3">
      <c r="A177">
        <v>176</v>
      </c>
      <c r="B177" t="s">
        <v>36</v>
      </c>
      <c r="C177" s="2">
        <v>45814</v>
      </c>
      <c r="D177" s="2">
        <v>45829</v>
      </c>
      <c r="E177">
        <v>56</v>
      </c>
      <c r="F177">
        <v>4</v>
      </c>
      <c r="G177" s="5">
        <v>175.1</v>
      </c>
      <c r="H177" t="s">
        <v>10</v>
      </c>
      <c r="I177" t="s">
        <v>26</v>
      </c>
    </row>
    <row r="178" spans="1:9" x14ac:dyDescent="0.3">
      <c r="A178">
        <v>177</v>
      </c>
      <c r="B178" t="s">
        <v>36</v>
      </c>
      <c r="C178" s="2">
        <v>45806</v>
      </c>
      <c r="D178" s="2">
        <v>45847</v>
      </c>
      <c r="E178">
        <v>26</v>
      </c>
      <c r="F178">
        <v>4</v>
      </c>
      <c r="G178" s="5">
        <v>176.1</v>
      </c>
      <c r="H178" t="s">
        <v>13</v>
      </c>
      <c r="I178" t="s">
        <v>26</v>
      </c>
    </row>
    <row r="179" spans="1:9" x14ac:dyDescent="0.3">
      <c r="A179">
        <v>178</v>
      </c>
      <c r="B179" t="s">
        <v>32</v>
      </c>
      <c r="C179" s="2">
        <v>45804</v>
      </c>
      <c r="D179" s="2">
        <v>45839</v>
      </c>
      <c r="E179">
        <v>50</v>
      </c>
      <c r="F179">
        <v>3</v>
      </c>
      <c r="G179" s="5">
        <v>177.1</v>
      </c>
      <c r="H179" t="s">
        <v>25</v>
      </c>
      <c r="I179" t="s">
        <v>26</v>
      </c>
    </row>
    <row r="180" spans="1:9" x14ac:dyDescent="0.3">
      <c r="A180">
        <v>179</v>
      </c>
      <c r="B180" t="s">
        <v>28</v>
      </c>
      <c r="C180" s="2">
        <v>45838</v>
      </c>
      <c r="D180" s="2">
        <v>45882</v>
      </c>
      <c r="E180">
        <v>7</v>
      </c>
      <c r="F180">
        <v>1</v>
      </c>
      <c r="G180" s="5">
        <v>178.1</v>
      </c>
      <c r="H180" t="s">
        <v>10</v>
      </c>
      <c r="I180" t="s">
        <v>14</v>
      </c>
    </row>
    <row r="181" spans="1:9" x14ac:dyDescent="0.3">
      <c r="A181">
        <v>180</v>
      </c>
      <c r="B181" t="s">
        <v>32</v>
      </c>
      <c r="C181" s="2">
        <v>45808</v>
      </c>
      <c r="D181" s="2">
        <v>45825</v>
      </c>
      <c r="E181">
        <v>57</v>
      </c>
      <c r="F181">
        <v>8</v>
      </c>
      <c r="G181" s="5">
        <v>179.1</v>
      </c>
      <c r="H181" t="s">
        <v>25</v>
      </c>
      <c r="I181" t="s">
        <v>14</v>
      </c>
    </row>
    <row r="182" spans="1:9" x14ac:dyDescent="0.3">
      <c r="A182">
        <v>181</v>
      </c>
      <c r="B182" t="s">
        <v>12</v>
      </c>
      <c r="C182" s="2">
        <v>45838</v>
      </c>
      <c r="D182" s="2">
        <v>45880</v>
      </c>
      <c r="E182">
        <v>48</v>
      </c>
      <c r="F182">
        <v>7</v>
      </c>
      <c r="G182" s="5">
        <v>180.1</v>
      </c>
      <c r="H182" t="s">
        <v>10</v>
      </c>
      <c r="I182" t="s">
        <v>24</v>
      </c>
    </row>
    <row r="183" spans="1:9" x14ac:dyDescent="0.3">
      <c r="A183">
        <v>182</v>
      </c>
      <c r="B183" t="s">
        <v>22</v>
      </c>
      <c r="C183" s="2">
        <v>45830</v>
      </c>
      <c r="D183" s="2">
        <v>45847</v>
      </c>
      <c r="E183">
        <v>19</v>
      </c>
      <c r="F183">
        <v>9</v>
      </c>
      <c r="G183" s="5">
        <v>181.1</v>
      </c>
      <c r="H183" t="s">
        <v>16</v>
      </c>
      <c r="I183" t="s">
        <v>24</v>
      </c>
    </row>
    <row r="184" spans="1:9" x14ac:dyDescent="0.3">
      <c r="A184">
        <v>183</v>
      </c>
      <c r="B184" t="s">
        <v>15</v>
      </c>
      <c r="C184" s="2">
        <v>45842</v>
      </c>
      <c r="D184" s="2">
        <v>45862</v>
      </c>
      <c r="E184">
        <v>36</v>
      </c>
      <c r="F184">
        <v>8</v>
      </c>
      <c r="G184" s="5">
        <v>182.1</v>
      </c>
      <c r="H184" t="s">
        <v>13</v>
      </c>
      <c r="I184" t="s">
        <v>14</v>
      </c>
    </row>
    <row r="185" spans="1:9" x14ac:dyDescent="0.3">
      <c r="A185">
        <v>184</v>
      </c>
      <c r="B185" t="s">
        <v>29</v>
      </c>
      <c r="C185" s="2">
        <v>45827</v>
      </c>
      <c r="D185" s="2">
        <v>45855</v>
      </c>
      <c r="E185">
        <v>35</v>
      </c>
      <c r="F185">
        <v>3</v>
      </c>
      <c r="G185" s="5">
        <v>183.1</v>
      </c>
      <c r="H185" t="s">
        <v>25</v>
      </c>
      <c r="I185" t="s">
        <v>21</v>
      </c>
    </row>
    <row r="186" spans="1:9" x14ac:dyDescent="0.3">
      <c r="A186">
        <v>185</v>
      </c>
      <c r="B186" t="s">
        <v>29</v>
      </c>
      <c r="C186" s="2">
        <v>45833</v>
      </c>
      <c r="D186" s="2">
        <v>45877</v>
      </c>
      <c r="E186">
        <v>56</v>
      </c>
      <c r="F186">
        <v>6</v>
      </c>
      <c r="G186" s="5">
        <v>184.1</v>
      </c>
      <c r="H186" t="s">
        <v>13</v>
      </c>
      <c r="I186" t="s">
        <v>24</v>
      </c>
    </row>
    <row r="187" spans="1:9" x14ac:dyDescent="0.3">
      <c r="A187">
        <v>186</v>
      </c>
      <c r="B187" t="s">
        <v>31</v>
      </c>
      <c r="C187" s="2">
        <v>45829</v>
      </c>
      <c r="D187" s="2">
        <v>45855</v>
      </c>
      <c r="E187">
        <v>58</v>
      </c>
      <c r="F187">
        <v>9</v>
      </c>
      <c r="G187" s="5">
        <v>185.1</v>
      </c>
      <c r="H187" t="s">
        <v>25</v>
      </c>
      <c r="I187" t="s">
        <v>14</v>
      </c>
    </row>
    <row r="188" spans="1:9" x14ac:dyDescent="0.3">
      <c r="A188">
        <v>187</v>
      </c>
      <c r="B188" t="s">
        <v>31</v>
      </c>
      <c r="C188" s="2">
        <v>45825</v>
      </c>
      <c r="D188" s="2">
        <v>45859</v>
      </c>
      <c r="E188">
        <v>17</v>
      </c>
      <c r="F188">
        <v>10</v>
      </c>
      <c r="G188" s="5">
        <v>186.1</v>
      </c>
      <c r="H188" t="s">
        <v>13</v>
      </c>
      <c r="I188" t="s">
        <v>11</v>
      </c>
    </row>
    <row r="189" spans="1:9" x14ac:dyDescent="0.3">
      <c r="A189">
        <v>188</v>
      </c>
      <c r="B189" t="s">
        <v>36</v>
      </c>
      <c r="C189" s="2">
        <v>45823</v>
      </c>
      <c r="D189" s="2">
        <v>45857</v>
      </c>
      <c r="E189">
        <v>5</v>
      </c>
      <c r="F189">
        <v>9</v>
      </c>
      <c r="G189" s="5">
        <v>187.1</v>
      </c>
      <c r="H189" t="s">
        <v>10</v>
      </c>
      <c r="I189" t="s">
        <v>19</v>
      </c>
    </row>
    <row r="190" spans="1:9" x14ac:dyDescent="0.3">
      <c r="A190">
        <v>189</v>
      </c>
      <c r="B190" t="s">
        <v>17</v>
      </c>
      <c r="C190" s="2">
        <v>45802</v>
      </c>
      <c r="D190" s="2">
        <v>45836</v>
      </c>
      <c r="E190">
        <v>30</v>
      </c>
      <c r="F190">
        <v>9</v>
      </c>
      <c r="G190" s="5">
        <v>188.1</v>
      </c>
      <c r="H190" t="s">
        <v>10</v>
      </c>
      <c r="I190" t="s">
        <v>19</v>
      </c>
    </row>
    <row r="191" spans="1:9" x14ac:dyDescent="0.3">
      <c r="A191">
        <v>190</v>
      </c>
      <c r="B191" t="s">
        <v>29</v>
      </c>
      <c r="C191" s="2">
        <v>45825</v>
      </c>
      <c r="D191" s="2">
        <v>45848</v>
      </c>
      <c r="E191">
        <v>38</v>
      </c>
      <c r="F191">
        <v>3</v>
      </c>
      <c r="G191" s="5">
        <v>189.1</v>
      </c>
      <c r="H191" t="s">
        <v>16</v>
      </c>
      <c r="I191" t="s">
        <v>24</v>
      </c>
    </row>
    <row r="192" spans="1:9" x14ac:dyDescent="0.3">
      <c r="A192">
        <v>191</v>
      </c>
      <c r="B192" t="s">
        <v>29</v>
      </c>
      <c r="C192" s="2">
        <v>45810</v>
      </c>
      <c r="D192" s="2">
        <v>45848</v>
      </c>
      <c r="E192">
        <v>30</v>
      </c>
      <c r="F192">
        <v>5</v>
      </c>
      <c r="G192" s="5">
        <v>190.1</v>
      </c>
      <c r="H192" t="s">
        <v>25</v>
      </c>
      <c r="I192" t="s">
        <v>14</v>
      </c>
    </row>
    <row r="193" spans="1:9" x14ac:dyDescent="0.3">
      <c r="A193">
        <v>192</v>
      </c>
      <c r="B193" t="s">
        <v>34</v>
      </c>
      <c r="C193" s="2">
        <v>45822</v>
      </c>
      <c r="D193" s="2">
        <v>45841</v>
      </c>
      <c r="E193">
        <v>21</v>
      </c>
      <c r="F193">
        <v>10</v>
      </c>
      <c r="G193" s="5">
        <v>191.1</v>
      </c>
      <c r="H193" t="s">
        <v>10</v>
      </c>
      <c r="I193" t="s">
        <v>24</v>
      </c>
    </row>
    <row r="194" spans="1:9" x14ac:dyDescent="0.3">
      <c r="A194">
        <v>193</v>
      </c>
      <c r="B194" t="s">
        <v>9</v>
      </c>
      <c r="C194" s="2">
        <v>45817</v>
      </c>
      <c r="D194" s="2">
        <v>45834</v>
      </c>
      <c r="E194">
        <v>10</v>
      </c>
      <c r="F194">
        <v>2</v>
      </c>
      <c r="G194" s="5">
        <v>192.1</v>
      </c>
      <c r="H194" t="s">
        <v>16</v>
      </c>
      <c r="I194" t="s">
        <v>21</v>
      </c>
    </row>
    <row r="195" spans="1:9" x14ac:dyDescent="0.3">
      <c r="A195">
        <v>194</v>
      </c>
      <c r="B195" t="s">
        <v>33</v>
      </c>
      <c r="C195" s="2">
        <v>45809</v>
      </c>
      <c r="D195" s="2">
        <v>45824</v>
      </c>
      <c r="E195">
        <v>41</v>
      </c>
      <c r="F195">
        <v>9</v>
      </c>
      <c r="G195" s="5">
        <v>193.1</v>
      </c>
      <c r="H195" t="s">
        <v>10</v>
      </c>
      <c r="I195" t="s">
        <v>21</v>
      </c>
    </row>
    <row r="196" spans="1:9" x14ac:dyDescent="0.3">
      <c r="A196">
        <v>195</v>
      </c>
      <c r="B196" t="s">
        <v>12</v>
      </c>
      <c r="C196" s="2">
        <v>45803</v>
      </c>
      <c r="D196" s="2">
        <v>45818</v>
      </c>
      <c r="E196">
        <v>15</v>
      </c>
      <c r="F196">
        <v>1</v>
      </c>
      <c r="G196" s="5">
        <v>194.1</v>
      </c>
      <c r="H196" t="s">
        <v>16</v>
      </c>
      <c r="I196" t="s">
        <v>11</v>
      </c>
    </row>
    <row r="197" spans="1:9" x14ac:dyDescent="0.3">
      <c r="A197">
        <v>196</v>
      </c>
      <c r="B197" t="s">
        <v>30</v>
      </c>
      <c r="C197" s="2">
        <v>45842</v>
      </c>
      <c r="D197" s="2">
        <v>45860</v>
      </c>
      <c r="E197">
        <v>43</v>
      </c>
      <c r="F197">
        <v>2</v>
      </c>
      <c r="G197" s="5">
        <v>195.1</v>
      </c>
      <c r="H197" t="s">
        <v>13</v>
      </c>
      <c r="I197" t="s">
        <v>26</v>
      </c>
    </row>
    <row r="198" spans="1:9" x14ac:dyDescent="0.3">
      <c r="A198">
        <v>197</v>
      </c>
      <c r="B198" t="s">
        <v>32</v>
      </c>
      <c r="C198" s="2">
        <v>45812</v>
      </c>
      <c r="D198" s="2">
        <v>45855</v>
      </c>
      <c r="E198">
        <v>40</v>
      </c>
      <c r="F198">
        <v>5</v>
      </c>
      <c r="G198" s="5">
        <v>196.1</v>
      </c>
      <c r="H198" t="s">
        <v>10</v>
      </c>
      <c r="I198" t="s">
        <v>11</v>
      </c>
    </row>
    <row r="199" spans="1:9" x14ac:dyDescent="0.3">
      <c r="A199">
        <v>198</v>
      </c>
      <c r="B199" t="s">
        <v>18</v>
      </c>
      <c r="C199" s="2">
        <v>45834</v>
      </c>
      <c r="D199" s="2">
        <v>45879</v>
      </c>
      <c r="E199">
        <v>43</v>
      </c>
      <c r="F199">
        <v>2</v>
      </c>
      <c r="G199" s="5">
        <v>197.1</v>
      </c>
      <c r="H199" t="s">
        <v>13</v>
      </c>
      <c r="I199" t="s">
        <v>21</v>
      </c>
    </row>
    <row r="200" spans="1:9" x14ac:dyDescent="0.3">
      <c r="A200">
        <v>199</v>
      </c>
      <c r="B200" t="s">
        <v>12</v>
      </c>
      <c r="C200" s="2">
        <v>45805</v>
      </c>
      <c r="D200" s="2">
        <v>45828</v>
      </c>
      <c r="E200">
        <v>38</v>
      </c>
      <c r="F200">
        <v>6</v>
      </c>
      <c r="G200" s="5">
        <v>198.1</v>
      </c>
      <c r="H200" t="s">
        <v>16</v>
      </c>
      <c r="I200" t="s">
        <v>11</v>
      </c>
    </row>
    <row r="201" spans="1:9" x14ac:dyDescent="0.3">
      <c r="A201">
        <v>200</v>
      </c>
      <c r="B201" t="s">
        <v>36</v>
      </c>
      <c r="C201" s="2">
        <v>45836</v>
      </c>
      <c r="D201" s="2">
        <v>45855</v>
      </c>
      <c r="E201">
        <v>55</v>
      </c>
      <c r="F201">
        <v>9</v>
      </c>
      <c r="G201" s="5">
        <v>199.1</v>
      </c>
      <c r="H201" t="s">
        <v>16</v>
      </c>
      <c r="I201" t="s">
        <v>24</v>
      </c>
    </row>
    <row r="202" spans="1:9" x14ac:dyDescent="0.3">
      <c r="A202">
        <v>201</v>
      </c>
      <c r="B202" t="s">
        <v>22</v>
      </c>
      <c r="C202" s="2">
        <v>45834</v>
      </c>
      <c r="D202" s="2">
        <v>45863</v>
      </c>
      <c r="E202">
        <v>45</v>
      </c>
      <c r="F202">
        <v>10</v>
      </c>
      <c r="G202" s="5">
        <v>200.1</v>
      </c>
      <c r="H202" t="s">
        <v>16</v>
      </c>
      <c r="I202" t="s">
        <v>21</v>
      </c>
    </row>
    <row r="203" spans="1:9" x14ac:dyDescent="0.3">
      <c r="A203">
        <v>202</v>
      </c>
      <c r="B203" t="s">
        <v>36</v>
      </c>
      <c r="C203" s="2">
        <v>45813</v>
      </c>
      <c r="D203" s="2">
        <v>45847</v>
      </c>
      <c r="E203">
        <v>19</v>
      </c>
      <c r="F203">
        <v>5</v>
      </c>
      <c r="G203" s="5">
        <v>201.1</v>
      </c>
      <c r="H203" t="s">
        <v>13</v>
      </c>
      <c r="I203" t="s">
        <v>35</v>
      </c>
    </row>
    <row r="204" spans="1:9" x14ac:dyDescent="0.3">
      <c r="A204">
        <v>203</v>
      </c>
      <c r="B204" t="s">
        <v>32</v>
      </c>
      <c r="C204" s="2">
        <v>45826</v>
      </c>
      <c r="D204" s="2">
        <v>45861</v>
      </c>
      <c r="E204">
        <v>43</v>
      </c>
      <c r="F204">
        <v>1</v>
      </c>
      <c r="G204" s="5">
        <v>202.1</v>
      </c>
      <c r="H204" t="s">
        <v>16</v>
      </c>
      <c r="I204" t="s">
        <v>35</v>
      </c>
    </row>
    <row r="205" spans="1:9" x14ac:dyDescent="0.3">
      <c r="A205">
        <v>204</v>
      </c>
      <c r="B205" t="s">
        <v>18</v>
      </c>
      <c r="C205" s="2">
        <v>45819</v>
      </c>
      <c r="D205" s="2">
        <v>45852</v>
      </c>
      <c r="E205">
        <v>12</v>
      </c>
      <c r="F205">
        <v>2</v>
      </c>
      <c r="G205" s="5">
        <v>203.1</v>
      </c>
      <c r="H205" t="s">
        <v>25</v>
      </c>
      <c r="I205" t="s">
        <v>26</v>
      </c>
    </row>
    <row r="206" spans="1:9" x14ac:dyDescent="0.3">
      <c r="A206">
        <v>205</v>
      </c>
      <c r="B206" t="s">
        <v>32</v>
      </c>
      <c r="C206" s="2">
        <v>45841</v>
      </c>
      <c r="D206" s="2">
        <v>45871</v>
      </c>
      <c r="E206">
        <v>27</v>
      </c>
      <c r="F206">
        <v>8</v>
      </c>
      <c r="G206" s="5">
        <v>204.1</v>
      </c>
      <c r="H206" t="s">
        <v>10</v>
      </c>
      <c r="I206" t="s">
        <v>21</v>
      </c>
    </row>
    <row r="207" spans="1:9" x14ac:dyDescent="0.3">
      <c r="A207">
        <v>206</v>
      </c>
      <c r="B207" t="s">
        <v>29</v>
      </c>
      <c r="C207" s="2">
        <v>45836</v>
      </c>
      <c r="D207" s="2">
        <v>45856</v>
      </c>
      <c r="E207">
        <v>31</v>
      </c>
      <c r="F207">
        <v>3</v>
      </c>
      <c r="G207" s="5">
        <v>205.1</v>
      </c>
      <c r="H207" t="s">
        <v>10</v>
      </c>
      <c r="I207" t="s">
        <v>24</v>
      </c>
    </row>
    <row r="208" spans="1:9" x14ac:dyDescent="0.3">
      <c r="A208">
        <v>207</v>
      </c>
      <c r="B208" t="s">
        <v>17</v>
      </c>
      <c r="C208" s="2">
        <v>45830</v>
      </c>
      <c r="D208" s="2">
        <v>45866</v>
      </c>
      <c r="E208">
        <v>34</v>
      </c>
      <c r="F208">
        <v>4</v>
      </c>
      <c r="G208" s="5">
        <v>206.1</v>
      </c>
      <c r="H208" t="s">
        <v>10</v>
      </c>
      <c r="I208" t="s">
        <v>35</v>
      </c>
    </row>
    <row r="209" spans="1:9" x14ac:dyDescent="0.3">
      <c r="A209">
        <v>208</v>
      </c>
      <c r="B209" t="s">
        <v>36</v>
      </c>
      <c r="C209" s="2">
        <v>45808</v>
      </c>
      <c r="D209" s="2">
        <v>45845</v>
      </c>
      <c r="E209">
        <v>25</v>
      </c>
      <c r="F209">
        <v>6</v>
      </c>
      <c r="G209" s="5">
        <v>207.1</v>
      </c>
      <c r="H209" t="s">
        <v>16</v>
      </c>
      <c r="I209" t="s">
        <v>14</v>
      </c>
    </row>
    <row r="210" spans="1:9" x14ac:dyDescent="0.3">
      <c r="A210">
        <v>209</v>
      </c>
      <c r="B210" t="s">
        <v>31</v>
      </c>
      <c r="C210" s="2">
        <v>45844</v>
      </c>
      <c r="D210" s="2">
        <v>45868</v>
      </c>
      <c r="E210">
        <v>32</v>
      </c>
      <c r="F210">
        <v>7</v>
      </c>
      <c r="G210" s="5">
        <v>208.1</v>
      </c>
      <c r="H210" t="s">
        <v>13</v>
      </c>
      <c r="I210" t="s">
        <v>19</v>
      </c>
    </row>
    <row r="211" spans="1:9" x14ac:dyDescent="0.3">
      <c r="A211">
        <v>210</v>
      </c>
      <c r="B211" t="s">
        <v>36</v>
      </c>
      <c r="C211" s="2">
        <v>45819</v>
      </c>
      <c r="D211" s="2">
        <v>45834</v>
      </c>
      <c r="E211">
        <v>43</v>
      </c>
      <c r="F211">
        <v>2</v>
      </c>
      <c r="G211" s="5">
        <v>209.1</v>
      </c>
      <c r="H211" t="s">
        <v>10</v>
      </c>
      <c r="I211" t="s">
        <v>19</v>
      </c>
    </row>
    <row r="212" spans="1:9" x14ac:dyDescent="0.3">
      <c r="A212">
        <v>211</v>
      </c>
      <c r="B212" t="s">
        <v>32</v>
      </c>
      <c r="C212" s="2">
        <v>45814</v>
      </c>
      <c r="D212" s="2">
        <v>45852</v>
      </c>
      <c r="E212">
        <v>28</v>
      </c>
      <c r="F212">
        <v>7</v>
      </c>
      <c r="G212" s="5">
        <v>210.1</v>
      </c>
      <c r="H212" t="s">
        <v>13</v>
      </c>
      <c r="I212" t="s">
        <v>19</v>
      </c>
    </row>
    <row r="213" spans="1:9" x14ac:dyDescent="0.3">
      <c r="A213">
        <v>212</v>
      </c>
      <c r="B213" t="s">
        <v>12</v>
      </c>
      <c r="C213" s="2">
        <v>45830</v>
      </c>
      <c r="D213" s="2">
        <v>45854</v>
      </c>
      <c r="E213">
        <v>41</v>
      </c>
      <c r="F213">
        <v>7</v>
      </c>
      <c r="G213" s="5">
        <v>211.1</v>
      </c>
      <c r="H213" t="s">
        <v>13</v>
      </c>
      <c r="I213" t="s">
        <v>24</v>
      </c>
    </row>
    <row r="214" spans="1:9" x14ac:dyDescent="0.3">
      <c r="A214">
        <v>213</v>
      </c>
      <c r="B214" t="s">
        <v>9</v>
      </c>
      <c r="C214" s="2">
        <v>45837</v>
      </c>
      <c r="D214" s="2">
        <v>45877</v>
      </c>
      <c r="E214">
        <v>20</v>
      </c>
      <c r="F214">
        <v>7</v>
      </c>
      <c r="G214" s="5">
        <v>212.1</v>
      </c>
      <c r="H214" t="s">
        <v>25</v>
      </c>
      <c r="I214" t="s">
        <v>24</v>
      </c>
    </row>
    <row r="215" spans="1:9" x14ac:dyDescent="0.3">
      <c r="A215">
        <v>214</v>
      </c>
      <c r="B215" t="s">
        <v>36</v>
      </c>
      <c r="C215" s="2">
        <v>45817</v>
      </c>
      <c r="D215" s="2">
        <v>45834</v>
      </c>
      <c r="E215">
        <v>49</v>
      </c>
      <c r="F215">
        <v>9</v>
      </c>
      <c r="G215" s="5">
        <v>213.1</v>
      </c>
      <c r="H215" t="s">
        <v>10</v>
      </c>
      <c r="I215" t="s">
        <v>11</v>
      </c>
    </row>
    <row r="216" spans="1:9" x14ac:dyDescent="0.3">
      <c r="A216">
        <v>215</v>
      </c>
      <c r="B216" t="s">
        <v>31</v>
      </c>
      <c r="C216" s="2">
        <v>45841</v>
      </c>
      <c r="D216" s="2">
        <v>45876</v>
      </c>
      <c r="E216">
        <v>37</v>
      </c>
      <c r="F216">
        <v>10</v>
      </c>
      <c r="G216" s="5">
        <v>214.1</v>
      </c>
      <c r="H216" t="s">
        <v>16</v>
      </c>
      <c r="I216" t="s">
        <v>24</v>
      </c>
    </row>
    <row r="217" spans="1:9" x14ac:dyDescent="0.3">
      <c r="A217">
        <v>216</v>
      </c>
      <c r="B217" t="s">
        <v>20</v>
      </c>
      <c r="C217" s="2">
        <v>45823</v>
      </c>
      <c r="D217" s="2">
        <v>45842</v>
      </c>
      <c r="E217">
        <v>25</v>
      </c>
      <c r="F217">
        <v>8</v>
      </c>
      <c r="G217" s="5">
        <v>215.1</v>
      </c>
      <c r="H217" t="s">
        <v>25</v>
      </c>
      <c r="I217" t="s">
        <v>26</v>
      </c>
    </row>
    <row r="218" spans="1:9" x14ac:dyDescent="0.3">
      <c r="A218">
        <v>217</v>
      </c>
      <c r="B218" t="s">
        <v>31</v>
      </c>
      <c r="C218" s="2">
        <v>45831</v>
      </c>
      <c r="D218" s="2">
        <v>45874</v>
      </c>
      <c r="E218">
        <v>35</v>
      </c>
      <c r="F218">
        <v>5</v>
      </c>
      <c r="G218" s="5">
        <v>216.1</v>
      </c>
      <c r="H218" t="s">
        <v>13</v>
      </c>
      <c r="I218" t="s">
        <v>14</v>
      </c>
    </row>
    <row r="219" spans="1:9" x14ac:dyDescent="0.3">
      <c r="A219">
        <v>218</v>
      </c>
      <c r="B219" t="s">
        <v>30</v>
      </c>
      <c r="C219" s="2">
        <v>45831</v>
      </c>
      <c r="D219" s="2">
        <v>45855</v>
      </c>
      <c r="E219">
        <v>46</v>
      </c>
      <c r="F219">
        <v>9</v>
      </c>
      <c r="G219" s="5">
        <v>217.1</v>
      </c>
      <c r="H219" t="s">
        <v>16</v>
      </c>
      <c r="I219" t="s">
        <v>35</v>
      </c>
    </row>
    <row r="220" spans="1:9" x14ac:dyDescent="0.3">
      <c r="A220">
        <v>219</v>
      </c>
      <c r="B220" t="s">
        <v>22</v>
      </c>
      <c r="C220" s="2">
        <v>45816</v>
      </c>
      <c r="D220" s="2">
        <v>45841</v>
      </c>
      <c r="E220">
        <v>35</v>
      </c>
      <c r="F220">
        <v>2</v>
      </c>
      <c r="G220" s="5">
        <v>218.1</v>
      </c>
      <c r="H220" t="s">
        <v>13</v>
      </c>
      <c r="I220" t="s">
        <v>21</v>
      </c>
    </row>
    <row r="221" spans="1:9" x14ac:dyDescent="0.3">
      <c r="A221">
        <v>220</v>
      </c>
      <c r="B221" t="s">
        <v>33</v>
      </c>
      <c r="C221" s="2">
        <v>45804</v>
      </c>
      <c r="D221" s="2">
        <v>45822</v>
      </c>
      <c r="E221">
        <v>15</v>
      </c>
      <c r="F221">
        <v>4</v>
      </c>
      <c r="G221" s="5">
        <v>219.1</v>
      </c>
      <c r="H221" t="s">
        <v>10</v>
      </c>
      <c r="I221" t="s">
        <v>24</v>
      </c>
    </row>
    <row r="222" spans="1:9" x14ac:dyDescent="0.3">
      <c r="A222">
        <v>221</v>
      </c>
      <c r="B222" t="s">
        <v>17</v>
      </c>
      <c r="C222" s="2">
        <v>45827</v>
      </c>
      <c r="D222" s="2">
        <v>45851</v>
      </c>
      <c r="E222">
        <v>10</v>
      </c>
      <c r="F222">
        <v>4</v>
      </c>
      <c r="G222" s="5">
        <v>220.1</v>
      </c>
      <c r="H222" t="s">
        <v>10</v>
      </c>
      <c r="I222" t="s">
        <v>11</v>
      </c>
    </row>
    <row r="223" spans="1:9" x14ac:dyDescent="0.3">
      <c r="A223">
        <v>222</v>
      </c>
      <c r="B223" t="s">
        <v>22</v>
      </c>
      <c r="C223" s="2">
        <v>45806</v>
      </c>
      <c r="D223" s="2">
        <v>45837</v>
      </c>
      <c r="E223">
        <v>7</v>
      </c>
      <c r="F223">
        <v>7</v>
      </c>
      <c r="G223" s="5">
        <v>221.1</v>
      </c>
      <c r="H223" t="s">
        <v>16</v>
      </c>
      <c r="I223" t="s">
        <v>24</v>
      </c>
    </row>
    <row r="224" spans="1:9" x14ac:dyDescent="0.3">
      <c r="A224">
        <v>223</v>
      </c>
      <c r="B224" t="s">
        <v>37</v>
      </c>
      <c r="C224" s="2">
        <v>45846</v>
      </c>
      <c r="D224" s="2">
        <v>45887</v>
      </c>
      <c r="E224">
        <v>30</v>
      </c>
      <c r="F224">
        <v>6</v>
      </c>
      <c r="G224" s="5">
        <v>222.1</v>
      </c>
      <c r="H224" t="s">
        <v>10</v>
      </c>
      <c r="I224" t="s">
        <v>24</v>
      </c>
    </row>
    <row r="225" spans="1:9" x14ac:dyDescent="0.3">
      <c r="A225">
        <v>224</v>
      </c>
      <c r="B225" t="s">
        <v>22</v>
      </c>
      <c r="C225" s="2">
        <v>45822</v>
      </c>
      <c r="D225" s="2">
        <v>45867</v>
      </c>
      <c r="E225">
        <v>26</v>
      </c>
      <c r="F225">
        <v>2</v>
      </c>
      <c r="G225" s="5">
        <v>223.1</v>
      </c>
      <c r="H225" t="s">
        <v>25</v>
      </c>
      <c r="I225" t="s">
        <v>35</v>
      </c>
    </row>
    <row r="226" spans="1:9" x14ac:dyDescent="0.3">
      <c r="A226">
        <v>225</v>
      </c>
      <c r="B226" t="s">
        <v>27</v>
      </c>
      <c r="C226" s="2">
        <v>45818</v>
      </c>
      <c r="D226" s="2">
        <v>45846</v>
      </c>
      <c r="E226">
        <v>16</v>
      </c>
      <c r="F226">
        <v>3</v>
      </c>
      <c r="G226" s="5">
        <v>224.1</v>
      </c>
      <c r="H226" t="s">
        <v>10</v>
      </c>
      <c r="I226" t="s">
        <v>35</v>
      </c>
    </row>
    <row r="227" spans="1:9" x14ac:dyDescent="0.3">
      <c r="A227">
        <v>226</v>
      </c>
      <c r="B227" t="s">
        <v>12</v>
      </c>
      <c r="C227" s="2">
        <v>45816</v>
      </c>
      <c r="D227" s="2">
        <v>45861</v>
      </c>
      <c r="E227">
        <v>56</v>
      </c>
      <c r="F227">
        <v>8</v>
      </c>
      <c r="G227" s="5">
        <v>225.1</v>
      </c>
      <c r="H227" t="s">
        <v>25</v>
      </c>
      <c r="I227" t="s">
        <v>19</v>
      </c>
    </row>
    <row r="228" spans="1:9" x14ac:dyDescent="0.3">
      <c r="A228">
        <v>227</v>
      </c>
      <c r="B228" t="s">
        <v>20</v>
      </c>
      <c r="C228" s="2">
        <v>45802</v>
      </c>
      <c r="D228" s="2">
        <v>45818</v>
      </c>
      <c r="E228">
        <v>7</v>
      </c>
      <c r="F228">
        <v>5</v>
      </c>
      <c r="G228" s="5">
        <v>226.1</v>
      </c>
      <c r="H228" t="s">
        <v>16</v>
      </c>
      <c r="I228" t="s">
        <v>19</v>
      </c>
    </row>
    <row r="229" spans="1:9" x14ac:dyDescent="0.3">
      <c r="A229">
        <v>228</v>
      </c>
      <c r="B229" t="s">
        <v>29</v>
      </c>
      <c r="C229" s="2">
        <v>45817</v>
      </c>
      <c r="D229" s="2">
        <v>45855</v>
      </c>
      <c r="E229">
        <v>30</v>
      </c>
      <c r="F229">
        <v>3</v>
      </c>
      <c r="G229" s="5">
        <v>227.1</v>
      </c>
      <c r="H229" t="s">
        <v>10</v>
      </c>
      <c r="I229" t="s">
        <v>24</v>
      </c>
    </row>
    <row r="230" spans="1:9" x14ac:dyDescent="0.3">
      <c r="A230">
        <v>229</v>
      </c>
      <c r="B230" t="s">
        <v>27</v>
      </c>
      <c r="C230" s="2">
        <v>45815</v>
      </c>
      <c r="D230" s="2">
        <v>45847</v>
      </c>
      <c r="E230">
        <v>36</v>
      </c>
      <c r="F230">
        <v>8</v>
      </c>
      <c r="G230" s="5">
        <v>228.1</v>
      </c>
      <c r="H230" t="s">
        <v>13</v>
      </c>
      <c r="I230" t="s">
        <v>21</v>
      </c>
    </row>
    <row r="231" spans="1:9" x14ac:dyDescent="0.3">
      <c r="A231">
        <v>230</v>
      </c>
      <c r="B231" t="s">
        <v>28</v>
      </c>
      <c r="C231" s="2">
        <v>45844</v>
      </c>
      <c r="D231" s="2">
        <v>45882</v>
      </c>
      <c r="E231">
        <v>40</v>
      </c>
      <c r="F231">
        <v>10</v>
      </c>
      <c r="G231" s="5">
        <v>229.1</v>
      </c>
      <c r="H231" t="s">
        <v>16</v>
      </c>
      <c r="I231" t="s">
        <v>19</v>
      </c>
    </row>
    <row r="232" spans="1:9" x14ac:dyDescent="0.3">
      <c r="A232">
        <v>231</v>
      </c>
      <c r="B232" t="s">
        <v>36</v>
      </c>
      <c r="C232" s="2">
        <v>45815</v>
      </c>
      <c r="D232" s="2">
        <v>45846</v>
      </c>
      <c r="E232">
        <v>29</v>
      </c>
      <c r="F232">
        <v>4</v>
      </c>
      <c r="G232" s="5">
        <v>230.1</v>
      </c>
      <c r="H232" t="s">
        <v>10</v>
      </c>
      <c r="I232" t="s">
        <v>26</v>
      </c>
    </row>
    <row r="233" spans="1:9" x14ac:dyDescent="0.3">
      <c r="A233">
        <v>232</v>
      </c>
      <c r="B233" t="s">
        <v>15</v>
      </c>
      <c r="C233" s="2">
        <v>45802</v>
      </c>
      <c r="D233" s="2">
        <v>45827</v>
      </c>
      <c r="E233">
        <v>12</v>
      </c>
      <c r="F233">
        <v>6</v>
      </c>
      <c r="G233" s="5">
        <v>231.1</v>
      </c>
      <c r="H233" t="s">
        <v>16</v>
      </c>
      <c r="I233" t="s">
        <v>21</v>
      </c>
    </row>
    <row r="234" spans="1:9" x14ac:dyDescent="0.3">
      <c r="A234">
        <v>233</v>
      </c>
      <c r="B234" t="s">
        <v>33</v>
      </c>
      <c r="C234" s="2">
        <v>45806</v>
      </c>
      <c r="D234" s="2">
        <v>45841</v>
      </c>
      <c r="E234">
        <v>12</v>
      </c>
      <c r="F234">
        <v>2</v>
      </c>
      <c r="G234" s="5">
        <v>232.1</v>
      </c>
      <c r="H234" t="s">
        <v>16</v>
      </c>
      <c r="I234" t="s">
        <v>21</v>
      </c>
    </row>
    <row r="235" spans="1:9" x14ac:dyDescent="0.3">
      <c r="A235">
        <v>234</v>
      </c>
      <c r="B235" t="s">
        <v>28</v>
      </c>
      <c r="C235" s="2">
        <v>45823</v>
      </c>
      <c r="D235" s="2">
        <v>45853</v>
      </c>
      <c r="E235">
        <v>33</v>
      </c>
      <c r="F235">
        <v>8</v>
      </c>
      <c r="G235" s="5">
        <v>233.1</v>
      </c>
      <c r="H235" t="s">
        <v>13</v>
      </c>
      <c r="I235" t="s">
        <v>26</v>
      </c>
    </row>
    <row r="236" spans="1:9" x14ac:dyDescent="0.3">
      <c r="A236">
        <v>235</v>
      </c>
      <c r="B236" t="s">
        <v>30</v>
      </c>
      <c r="C236" s="2">
        <v>45804</v>
      </c>
      <c r="D236" s="2">
        <v>45841</v>
      </c>
      <c r="E236">
        <v>48</v>
      </c>
      <c r="F236">
        <v>5</v>
      </c>
      <c r="G236" s="5">
        <v>234.1</v>
      </c>
      <c r="H236" t="s">
        <v>10</v>
      </c>
      <c r="I236" t="s">
        <v>24</v>
      </c>
    </row>
    <row r="237" spans="1:9" x14ac:dyDescent="0.3">
      <c r="A237">
        <v>236</v>
      </c>
      <c r="B237" t="s">
        <v>9</v>
      </c>
      <c r="C237" s="2">
        <v>45831</v>
      </c>
      <c r="D237" s="2">
        <v>45849</v>
      </c>
      <c r="E237">
        <v>50</v>
      </c>
      <c r="F237">
        <v>3</v>
      </c>
      <c r="G237" s="5">
        <v>235.1</v>
      </c>
      <c r="H237" t="s">
        <v>10</v>
      </c>
      <c r="I237" t="s">
        <v>14</v>
      </c>
    </row>
    <row r="238" spans="1:9" x14ac:dyDescent="0.3">
      <c r="A238">
        <v>237</v>
      </c>
      <c r="B238" t="s">
        <v>37</v>
      </c>
      <c r="C238" s="2">
        <v>45808</v>
      </c>
      <c r="D238" s="2">
        <v>45836</v>
      </c>
      <c r="E238">
        <v>28</v>
      </c>
      <c r="F238">
        <v>1</v>
      </c>
      <c r="G238" s="5">
        <v>236.1</v>
      </c>
      <c r="H238" t="s">
        <v>16</v>
      </c>
      <c r="I238" t="s">
        <v>24</v>
      </c>
    </row>
    <row r="239" spans="1:9" x14ac:dyDescent="0.3">
      <c r="A239">
        <v>238</v>
      </c>
      <c r="B239" t="s">
        <v>33</v>
      </c>
      <c r="C239" s="2">
        <v>45838</v>
      </c>
      <c r="D239" s="2">
        <v>45875</v>
      </c>
      <c r="E239">
        <v>17</v>
      </c>
      <c r="F239">
        <v>6</v>
      </c>
      <c r="G239" s="5">
        <v>237.1</v>
      </c>
      <c r="H239" t="s">
        <v>10</v>
      </c>
      <c r="I239" t="s">
        <v>14</v>
      </c>
    </row>
    <row r="240" spans="1:9" x14ac:dyDescent="0.3">
      <c r="A240">
        <v>239</v>
      </c>
      <c r="B240" t="s">
        <v>23</v>
      </c>
      <c r="C240" s="2">
        <v>45811</v>
      </c>
      <c r="D240" s="2">
        <v>45853</v>
      </c>
      <c r="E240">
        <v>33</v>
      </c>
      <c r="F240">
        <v>7</v>
      </c>
      <c r="G240" s="5">
        <v>238.1</v>
      </c>
      <c r="H240" t="s">
        <v>16</v>
      </c>
      <c r="I240" t="s">
        <v>24</v>
      </c>
    </row>
    <row r="241" spans="1:9" x14ac:dyDescent="0.3">
      <c r="A241">
        <v>240</v>
      </c>
      <c r="B241" t="s">
        <v>32</v>
      </c>
      <c r="C241" s="2">
        <v>45835</v>
      </c>
      <c r="D241" s="2">
        <v>45864</v>
      </c>
      <c r="E241">
        <v>41</v>
      </c>
      <c r="F241">
        <v>5</v>
      </c>
      <c r="G241" s="5">
        <v>239.1</v>
      </c>
      <c r="H241" t="s">
        <v>25</v>
      </c>
      <c r="I241" t="s">
        <v>26</v>
      </c>
    </row>
    <row r="242" spans="1:9" x14ac:dyDescent="0.3">
      <c r="A242">
        <v>241</v>
      </c>
      <c r="B242" t="s">
        <v>31</v>
      </c>
      <c r="C242" s="2">
        <v>45839</v>
      </c>
      <c r="D242" s="2">
        <v>45884</v>
      </c>
      <c r="E242">
        <v>27</v>
      </c>
      <c r="F242">
        <v>6</v>
      </c>
      <c r="G242" s="5">
        <v>240.1</v>
      </c>
      <c r="H242" t="s">
        <v>25</v>
      </c>
      <c r="I242" t="s">
        <v>19</v>
      </c>
    </row>
    <row r="243" spans="1:9" x14ac:dyDescent="0.3">
      <c r="A243">
        <v>242</v>
      </c>
      <c r="B243" t="s">
        <v>15</v>
      </c>
      <c r="C243" s="2">
        <v>45816</v>
      </c>
      <c r="D243" s="2">
        <v>45840</v>
      </c>
      <c r="E243">
        <v>28</v>
      </c>
      <c r="F243">
        <v>10</v>
      </c>
      <c r="G243" s="5">
        <v>241.1</v>
      </c>
      <c r="H243" t="s">
        <v>25</v>
      </c>
      <c r="I243" t="s">
        <v>26</v>
      </c>
    </row>
    <row r="244" spans="1:9" x14ac:dyDescent="0.3">
      <c r="A244">
        <v>243</v>
      </c>
      <c r="B244" t="s">
        <v>30</v>
      </c>
      <c r="C244" s="2">
        <v>45815</v>
      </c>
      <c r="D244" s="2">
        <v>45854</v>
      </c>
      <c r="E244">
        <v>25</v>
      </c>
      <c r="F244">
        <v>8</v>
      </c>
      <c r="G244" s="5">
        <v>242.1</v>
      </c>
      <c r="H244" t="s">
        <v>25</v>
      </c>
      <c r="I244" t="s">
        <v>35</v>
      </c>
    </row>
    <row r="245" spans="1:9" x14ac:dyDescent="0.3">
      <c r="A245">
        <v>244</v>
      </c>
      <c r="B245" t="s">
        <v>20</v>
      </c>
      <c r="C245" s="2">
        <v>45820</v>
      </c>
      <c r="D245" s="2">
        <v>45835</v>
      </c>
      <c r="E245">
        <v>21</v>
      </c>
      <c r="F245">
        <v>4</v>
      </c>
      <c r="G245" s="5">
        <v>243.1</v>
      </c>
      <c r="H245" t="s">
        <v>13</v>
      </c>
      <c r="I245" t="s">
        <v>35</v>
      </c>
    </row>
    <row r="246" spans="1:9" x14ac:dyDescent="0.3">
      <c r="A246">
        <v>245</v>
      </c>
      <c r="B246" t="s">
        <v>29</v>
      </c>
      <c r="C246" s="2">
        <v>45839</v>
      </c>
      <c r="D246" s="2">
        <v>45871</v>
      </c>
      <c r="E246">
        <v>22</v>
      </c>
      <c r="F246">
        <v>10</v>
      </c>
      <c r="G246" s="5">
        <v>244.1</v>
      </c>
      <c r="H246" t="s">
        <v>16</v>
      </c>
      <c r="I246" t="s">
        <v>19</v>
      </c>
    </row>
    <row r="247" spans="1:9" x14ac:dyDescent="0.3">
      <c r="A247">
        <v>246</v>
      </c>
      <c r="B247" t="s">
        <v>12</v>
      </c>
      <c r="C247" s="2">
        <v>45819</v>
      </c>
      <c r="D247" s="2">
        <v>45863</v>
      </c>
      <c r="E247">
        <v>56</v>
      </c>
      <c r="F247">
        <v>8</v>
      </c>
      <c r="G247" s="5">
        <v>245.1</v>
      </c>
      <c r="H247" t="s">
        <v>16</v>
      </c>
      <c r="I247" t="s">
        <v>35</v>
      </c>
    </row>
    <row r="248" spans="1:9" x14ac:dyDescent="0.3">
      <c r="A248">
        <v>247</v>
      </c>
      <c r="B248" t="s">
        <v>30</v>
      </c>
      <c r="C248" s="2">
        <v>45813</v>
      </c>
      <c r="D248" s="2">
        <v>45843</v>
      </c>
      <c r="E248">
        <v>53</v>
      </c>
      <c r="F248">
        <v>9</v>
      </c>
      <c r="G248" s="5">
        <v>246.1</v>
      </c>
      <c r="H248" t="s">
        <v>25</v>
      </c>
      <c r="I248" t="s">
        <v>24</v>
      </c>
    </row>
    <row r="249" spans="1:9" x14ac:dyDescent="0.3">
      <c r="A249">
        <v>248</v>
      </c>
      <c r="B249" t="s">
        <v>15</v>
      </c>
      <c r="C249" s="2">
        <v>45828</v>
      </c>
      <c r="D249" s="2">
        <v>45855</v>
      </c>
      <c r="E249">
        <v>47</v>
      </c>
      <c r="F249">
        <v>2</v>
      </c>
      <c r="G249" s="5">
        <v>247.1</v>
      </c>
      <c r="H249" t="s">
        <v>13</v>
      </c>
      <c r="I249" t="s">
        <v>19</v>
      </c>
    </row>
    <row r="250" spans="1:9" x14ac:dyDescent="0.3">
      <c r="A250">
        <v>249</v>
      </c>
      <c r="B250" t="s">
        <v>29</v>
      </c>
      <c r="C250" s="2">
        <v>45825</v>
      </c>
      <c r="D250" s="2">
        <v>45849</v>
      </c>
      <c r="E250">
        <v>20</v>
      </c>
      <c r="F250">
        <v>8</v>
      </c>
      <c r="G250" s="5">
        <v>248.1</v>
      </c>
      <c r="H250" t="s">
        <v>10</v>
      </c>
      <c r="I250" t="s">
        <v>19</v>
      </c>
    </row>
    <row r="251" spans="1:9" x14ac:dyDescent="0.3">
      <c r="A251">
        <v>250</v>
      </c>
      <c r="B251" t="s">
        <v>36</v>
      </c>
      <c r="C251" s="2">
        <v>45824</v>
      </c>
      <c r="D251" s="2">
        <v>45846</v>
      </c>
      <c r="E251">
        <v>19</v>
      </c>
      <c r="F251">
        <v>6</v>
      </c>
      <c r="G251" s="5">
        <v>249.1</v>
      </c>
      <c r="H251" t="s">
        <v>13</v>
      </c>
      <c r="I251" t="s">
        <v>24</v>
      </c>
    </row>
    <row r="252" spans="1:9" x14ac:dyDescent="0.3">
      <c r="A252">
        <v>251</v>
      </c>
      <c r="B252" t="s">
        <v>33</v>
      </c>
      <c r="C252" s="2">
        <v>45811</v>
      </c>
      <c r="D252" s="2">
        <v>45831</v>
      </c>
      <c r="E252">
        <v>16</v>
      </c>
      <c r="F252">
        <v>5</v>
      </c>
      <c r="G252" s="5">
        <v>250.1</v>
      </c>
      <c r="H252" t="s">
        <v>10</v>
      </c>
      <c r="I252" t="s">
        <v>26</v>
      </c>
    </row>
    <row r="253" spans="1:9" x14ac:dyDescent="0.3">
      <c r="A253">
        <v>252</v>
      </c>
      <c r="B253" t="s">
        <v>18</v>
      </c>
      <c r="C253" s="2">
        <v>45836</v>
      </c>
      <c r="D253" s="2">
        <v>45869</v>
      </c>
      <c r="E253">
        <v>51</v>
      </c>
      <c r="F253">
        <v>7</v>
      </c>
      <c r="G253" s="5">
        <v>251.1</v>
      </c>
      <c r="H253" t="s">
        <v>25</v>
      </c>
      <c r="I253" t="s">
        <v>14</v>
      </c>
    </row>
    <row r="254" spans="1:9" x14ac:dyDescent="0.3">
      <c r="A254">
        <v>253</v>
      </c>
      <c r="B254" t="s">
        <v>23</v>
      </c>
      <c r="C254" s="2">
        <v>45845</v>
      </c>
      <c r="D254" s="2">
        <v>45863</v>
      </c>
      <c r="E254">
        <v>59</v>
      </c>
      <c r="F254">
        <v>10</v>
      </c>
      <c r="G254" s="5">
        <v>252.1</v>
      </c>
      <c r="H254" t="s">
        <v>10</v>
      </c>
      <c r="I254" t="s">
        <v>35</v>
      </c>
    </row>
    <row r="255" spans="1:9" x14ac:dyDescent="0.3">
      <c r="A255">
        <v>254</v>
      </c>
      <c r="B255" t="s">
        <v>22</v>
      </c>
      <c r="C255" s="2">
        <v>45819</v>
      </c>
      <c r="D255" s="2">
        <v>45840</v>
      </c>
      <c r="E255">
        <v>60</v>
      </c>
      <c r="F255">
        <v>10</v>
      </c>
      <c r="G255" s="5">
        <v>253.1</v>
      </c>
      <c r="H255" t="s">
        <v>16</v>
      </c>
      <c r="I255" t="s">
        <v>19</v>
      </c>
    </row>
    <row r="256" spans="1:9" x14ac:dyDescent="0.3">
      <c r="A256">
        <v>255</v>
      </c>
      <c r="B256" t="s">
        <v>15</v>
      </c>
      <c r="C256" s="2">
        <v>45820</v>
      </c>
      <c r="D256" s="2">
        <v>45842</v>
      </c>
      <c r="E256">
        <v>35</v>
      </c>
      <c r="F256">
        <v>8</v>
      </c>
      <c r="G256" s="5">
        <v>254.1</v>
      </c>
      <c r="H256" t="s">
        <v>13</v>
      </c>
      <c r="I256" t="s">
        <v>35</v>
      </c>
    </row>
    <row r="257" spans="1:9" x14ac:dyDescent="0.3">
      <c r="A257">
        <v>256</v>
      </c>
      <c r="B257" t="s">
        <v>17</v>
      </c>
      <c r="C257" s="2">
        <v>45817</v>
      </c>
      <c r="D257" s="2">
        <v>45851</v>
      </c>
      <c r="E257">
        <v>19</v>
      </c>
      <c r="F257">
        <v>2</v>
      </c>
      <c r="G257" s="5">
        <v>255.1</v>
      </c>
      <c r="H257" t="s">
        <v>10</v>
      </c>
      <c r="I257" t="s">
        <v>21</v>
      </c>
    </row>
    <row r="258" spans="1:9" x14ac:dyDescent="0.3">
      <c r="A258">
        <v>257</v>
      </c>
      <c r="B258" t="s">
        <v>33</v>
      </c>
      <c r="C258" s="2">
        <v>45832</v>
      </c>
      <c r="D258" s="2">
        <v>45867</v>
      </c>
      <c r="E258">
        <v>32</v>
      </c>
      <c r="F258">
        <v>3</v>
      </c>
      <c r="G258" s="5">
        <v>256.10000000000002</v>
      </c>
      <c r="H258" t="s">
        <v>25</v>
      </c>
      <c r="I258" t="s">
        <v>21</v>
      </c>
    </row>
    <row r="259" spans="1:9" x14ac:dyDescent="0.3">
      <c r="A259">
        <v>258</v>
      </c>
      <c r="B259" t="s">
        <v>33</v>
      </c>
      <c r="C259" s="2">
        <v>45815</v>
      </c>
      <c r="D259" s="2">
        <v>45847</v>
      </c>
      <c r="E259">
        <v>32</v>
      </c>
      <c r="F259">
        <v>7</v>
      </c>
      <c r="G259" s="5">
        <v>257.10000000000002</v>
      </c>
      <c r="H259" t="s">
        <v>25</v>
      </c>
      <c r="I259" t="s">
        <v>21</v>
      </c>
    </row>
    <row r="260" spans="1:9" x14ac:dyDescent="0.3">
      <c r="A260">
        <v>259</v>
      </c>
      <c r="B260" t="s">
        <v>17</v>
      </c>
      <c r="C260" s="2">
        <v>45842</v>
      </c>
      <c r="D260" s="2">
        <v>45878</v>
      </c>
      <c r="E260">
        <v>15</v>
      </c>
      <c r="F260">
        <v>7</v>
      </c>
      <c r="G260" s="5">
        <v>258.10000000000002</v>
      </c>
      <c r="H260" t="s">
        <v>10</v>
      </c>
      <c r="I260" t="s">
        <v>24</v>
      </c>
    </row>
    <row r="261" spans="1:9" x14ac:dyDescent="0.3">
      <c r="A261">
        <v>260</v>
      </c>
      <c r="B261" t="s">
        <v>12</v>
      </c>
      <c r="C261" s="2">
        <v>45826</v>
      </c>
      <c r="D261" s="2">
        <v>45866</v>
      </c>
      <c r="E261">
        <v>35</v>
      </c>
      <c r="F261">
        <v>4</v>
      </c>
      <c r="G261" s="5">
        <v>259.10000000000002</v>
      </c>
      <c r="H261" t="s">
        <v>10</v>
      </c>
      <c r="I261" t="s">
        <v>11</v>
      </c>
    </row>
    <row r="262" spans="1:9" x14ac:dyDescent="0.3">
      <c r="A262">
        <v>261</v>
      </c>
      <c r="B262" t="s">
        <v>37</v>
      </c>
      <c r="C262" s="2">
        <v>45817</v>
      </c>
      <c r="D262" s="2">
        <v>45842</v>
      </c>
      <c r="E262">
        <v>60</v>
      </c>
      <c r="F262">
        <v>2</v>
      </c>
      <c r="G262" s="5">
        <v>260.10000000000002</v>
      </c>
      <c r="H262" t="s">
        <v>10</v>
      </c>
      <c r="I262" t="s">
        <v>14</v>
      </c>
    </row>
    <row r="263" spans="1:9" x14ac:dyDescent="0.3">
      <c r="A263">
        <v>262</v>
      </c>
      <c r="B263" t="s">
        <v>33</v>
      </c>
      <c r="C263" s="2">
        <v>45812</v>
      </c>
      <c r="D263" s="2">
        <v>45840</v>
      </c>
      <c r="E263">
        <v>10</v>
      </c>
      <c r="F263">
        <v>5</v>
      </c>
      <c r="G263" s="5">
        <v>261.10000000000002</v>
      </c>
      <c r="H263" t="s">
        <v>25</v>
      </c>
      <c r="I263" t="s">
        <v>35</v>
      </c>
    </row>
    <row r="264" spans="1:9" x14ac:dyDescent="0.3">
      <c r="A264">
        <v>263</v>
      </c>
      <c r="B264" t="s">
        <v>33</v>
      </c>
      <c r="C264" s="2">
        <v>45834</v>
      </c>
      <c r="D264" s="2">
        <v>45850</v>
      </c>
      <c r="E264">
        <v>39</v>
      </c>
      <c r="F264">
        <v>2</v>
      </c>
      <c r="G264" s="5">
        <v>262.10000000000002</v>
      </c>
      <c r="H264" t="s">
        <v>10</v>
      </c>
      <c r="I264" t="s">
        <v>14</v>
      </c>
    </row>
    <row r="265" spans="1:9" x14ac:dyDescent="0.3">
      <c r="A265">
        <v>264</v>
      </c>
      <c r="B265" t="s">
        <v>36</v>
      </c>
      <c r="C265" s="2">
        <v>45802</v>
      </c>
      <c r="D265" s="2">
        <v>45836</v>
      </c>
      <c r="E265">
        <v>51</v>
      </c>
      <c r="F265">
        <v>3</v>
      </c>
      <c r="G265" s="5">
        <v>263.10000000000002</v>
      </c>
      <c r="H265" t="s">
        <v>13</v>
      </c>
      <c r="I265" t="s">
        <v>14</v>
      </c>
    </row>
    <row r="266" spans="1:9" x14ac:dyDescent="0.3">
      <c r="A266">
        <v>265</v>
      </c>
      <c r="B266" t="s">
        <v>32</v>
      </c>
      <c r="C266" s="2">
        <v>45838</v>
      </c>
      <c r="D266" s="2">
        <v>45876</v>
      </c>
      <c r="E266">
        <v>51</v>
      </c>
      <c r="F266">
        <v>10</v>
      </c>
      <c r="G266" s="5">
        <v>264.10000000000002</v>
      </c>
      <c r="H266" t="s">
        <v>16</v>
      </c>
      <c r="I266" t="s">
        <v>11</v>
      </c>
    </row>
    <row r="267" spans="1:9" x14ac:dyDescent="0.3">
      <c r="A267">
        <v>266</v>
      </c>
      <c r="B267" t="s">
        <v>28</v>
      </c>
      <c r="C267" s="2">
        <v>45802</v>
      </c>
      <c r="D267" s="2">
        <v>45820</v>
      </c>
      <c r="E267">
        <v>9</v>
      </c>
      <c r="F267">
        <v>9</v>
      </c>
      <c r="G267" s="5">
        <v>265.10000000000002</v>
      </c>
      <c r="H267" t="s">
        <v>25</v>
      </c>
      <c r="I267" t="s">
        <v>14</v>
      </c>
    </row>
    <row r="268" spans="1:9" x14ac:dyDescent="0.3">
      <c r="A268">
        <v>267</v>
      </c>
      <c r="B268" t="s">
        <v>22</v>
      </c>
      <c r="C268" s="2">
        <v>45846</v>
      </c>
      <c r="D268" s="2">
        <v>45862</v>
      </c>
      <c r="E268">
        <v>17</v>
      </c>
      <c r="F268">
        <v>6</v>
      </c>
      <c r="G268" s="5">
        <v>266.10000000000002</v>
      </c>
      <c r="H268" t="s">
        <v>10</v>
      </c>
      <c r="I268" t="s">
        <v>14</v>
      </c>
    </row>
    <row r="269" spans="1:9" x14ac:dyDescent="0.3">
      <c r="A269">
        <v>268</v>
      </c>
      <c r="B269" t="s">
        <v>15</v>
      </c>
      <c r="C269" s="2">
        <v>45820</v>
      </c>
      <c r="D269" s="2">
        <v>45850</v>
      </c>
      <c r="E269">
        <v>33</v>
      </c>
      <c r="F269">
        <v>7</v>
      </c>
      <c r="G269" s="5">
        <v>267.10000000000002</v>
      </c>
      <c r="H269" t="s">
        <v>16</v>
      </c>
      <c r="I269" t="s">
        <v>19</v>
      </c>
    </row>
    <row r="270" spans="1:9" x14ac:dyDescent="0.3">
      <c r="A270">
        <v>269</v>
      </c>
      <c r="B270" t="s">
        <v>34</v>
      </c>
      <c r="C270" s="2">
        <v>45817</v>
      </c>
      <c r="D270" s="2">
        <v>45840</v>
      </c>
      <c r="E270">
        <v>33</v>
      </c>
      <c r="F270">
        <v>2</v>
      </c>
      <c r="G270" s="5">
        <v>268.10000000000002</v>
      </c>
      <c r="H270" t="s">
        <v>25</v>
      </c>
      <c r="I270" t="s">
        <v>14</v>
      </c>
    </row>
    <row r="271" spans="1:9" x14ac:dyDescent="0.3">
      <c r="A271">
        <v>270</v>
      </c>
      <c r="B271" t="s">
        <v>23</v>
      </c>
      <c r="C271" s="2">
        <v>45819</v>
      </c>
      <c r="D271" s="2">
        <v>45864</v>
      </c>
      <c r="E271">
        <v>27</v>
      </c>
      <c r="F271">
        <v>4</v>
      </c>
      <c r="G271" s="5">
        <v>269.10000000000002</v>
      </c>
      <c r="H271" t="s">
        <v>10</v>
      </c>
      <c r="I271" t="s">
        <v>14</v>
      </c>
    </row>
    <row r="272" spans="1:9" x14ac:dyDescent="0.3">
      <c r="A272">
        <v>271</v>
      </c>
      <c r="B272" t="s">
        <v>9</v>
      </c>
      <c r="C272" s="2">
        <v>45821</v>
      </c>
      <c r="D272" s="2">
        <v>45857</v>
      </c>
      <c r="E272">
        <v>7</v>
      </c>
      <c r="F272">
        <v>2</v>
      </c>
      <c r="G272" s="5">
        <v>270.10000000000002</v>
      </c>
      <c r="H272" t="s">
        <v>25</v>
      </c>
      <c r="I272" t="s">
        <v>21</v>
      </c>
    </row>
    <row r="273" spans="1:9" x14ac:dyDescent="0.3">
      <c r="A273">
        <v>272</v>
      </c>
      <c r="B273" t="s">
        <v>30</v>
      </c>
      <c r="C273" s="2">
        <v>45809</v>
      </c>
      <c r="D273" s="2">
        <v>45849</v>
      </c>
      <c r="E273">
        <v>46</v>
      </c>
      <c r="F273">
        <v>7</v>
      </c>
      <c r="G273" s="5">
        <v>271.10000000000002</v>
      </c>
      <c r="H273" t="s">
        <v>16</v>
      </c>
      <c r="I273" t="s">
        <v>21</v>
      </c>
    </row>
    <row r="274" spans="1:9" x14ac:dyDescent="0.3">
      <c r="A274">
        <v>273</v>
      </c>
      <c r="B274" t="s">
        <v>18</v>
      </c>
      <c r="C274" s="2">
        <v>45815</v>
      </c>
      <c r="D274" s="2">
        <v>45836</v>
      </c>
      <c r="E274">
        <v>41</v>
      </c>
      <c r="F274">
        <v>5</v>
      </c>
      <c r="G274" s="5">
        <v>272.10000000000002</v>
      </c>
      <c r="H274" t="s">
        <v>16</v>
      </c>
      <c r="I274" t="s">
        <v>21</v>
      </c>
    </row>
    <row r="275" spans="1:9" x14ac:dyDescent="0.3">
      <c r="A275">
        <v>274</v>
      </c>
      <c r="B275" t="s">
        <v>15</v>
      </c>
      <c r="C275" s="2">
        <v>45840</v>
      </c>
      <c r="D275" s="2">
        <v>45881</v>
      </c>
      <c r="E275">
        <v>23</v>
      </c>
      <c r="F275">
        <v>2</v>
      </c>
      <c r="G275" s="5">
        <v>273.10000000000002</v>
      </c>
      <c r="H275" t="s">
        <v>25</v>
      </c>
      <c r="I275" t="s">
        <v>26</v>
      </c>
    </row>
    <row r="276" spans="1:9" x14ac:dyDescent="0.3">
      <c r="A276">
        <v>275</v>
      </c>
      <c r="B276" t="s">
        <v>18</v>
      </c>
      <c r="C276" s="2">
        <v>45830</v>
      </c>
      <c r="D276" s="2">
        <v>45874</v>
      </c>
      <c r="E276">
        <v>36</v>
      </c>
      <c r="F276">
        <v>8</v>
      </c>
      <c r="G276" s="5">
        <v>274.10000000000002</v>
      </c>
      <c r="H276" t="s">
        <v>10</v>
      </c>
      <c r="I276" t="s">
        <v>21</v>
      </c>
    </row>
    <row r="277" spans="1:9" x14ac:dyDescent="0.3">
      <c r="A277">
        <v>276</v>
      </c>
      <c r="B277" t="s">
        <v>34</v>
      </c>
      <c r="C277" s="2">
        <v>45840</v>
      </c>
      <c r="D277" s="2">
        <v>45869</v>
      </c>
      <c r="E277">
        <v>55</v>
      </c>
      <c r="F277">
        <v>9</v>
      </c>
      <c r="G277" s="5">
        <v>275.10000000000002</v>
      </c>
      <c r="H277" t="s">
        <v>13</v>
      </c>
      <c r="I277" t="s">
        <v>21</v>
      </c>
    </row>
    <row r="278" spans="1:9" x14ac:dyDescent="0.3">
      <c r="A278">
        <v>277</v>
      </c>
      <c r="B278" t="s">
        <v>37</v>
      </c>
      <c r="C278" s="2">
        <v>45839</v>
      </c>
      <c r="D278" s="2">
        <v>45881</v>
      </c>
      <c r="E278">
        <v>32</v>
      </c>
      <c r="F278">
        <v>4</v>
      </c>
      <c r="G278" s="5">
        <v>276.10000000000002</v>
      </c>
      <c r="H278" t="s">
        <v>16</v>
      </c>
      <c r="I278" t="s">
        <v>19</v>
      </c>
    </row>
    <row r="279" spans="1:9" x14ac:dyDescent="0.3">
      <c r="A279">
        <v>278</v>
      </c>
      <c r="B279" t="s">
        <v>15</v>
      </c>
      <c r="C279" s="2">
        <v>45809</v>
      </c>
      <c r="D279" s="2">
        <v>45826</v>
      </c>
      <c r="E279">
        <v>29</v>
      </c>
      <c r="F279">
        <v>2</v>
      </c>
      <c r="G279" s="5">
        <v>277.10000000000002</v>
      </c>
      <c r="H279" t="s">
        <v>16</v>
      </c>
      <c r="I279" t="s">
        <v>11</v>
      </c>
    </row>
    <row r="280" spans="1:9" x14ac:dyDescent="0.3">
      <c r="A280">
        <v>279</v>
      </c>
      <c r="B280" t="s">
        <v>30</v>
      </c>
      <c r="C280" s="2">
        <v>45823</v>
      </c>
      <c r="D280" s="2">
        <v>45867</v>
      </c>
      <c r="E280">
        <v>29</v>
      </c>
      <c r="F280">
        <v>8</v>
      </c>
      <c r="G280" s="5">
        <v>278.10000000000002</v>
      </c>
      <c r="H280" t="s">
        <v>16</v>
      </c>
      <c r="I280" t="s">
        <v>35</v>
      </c>
    </row>
    <row r="281" spans="1:9" x14ac:dyDescent="0.3">
      <c r="A281">
        <v>280</v>
      </c>
      <c r="B281" t="s">
        <v>34</v>
      </c>
      <c r="C281" s="2">
        <v>45842</v>
      </c>
      <c r="D281" s="2">
        <v>45858</v>
      </c>
      <c r="E281">
        <v>6</v>
      </c>
      <c r="F281">
        <v>3</v>
      </c>
      <c r="G281" s="5">
        <v>279.10000000000002</v>
      </c>
      <c r="H281" t="s">
        <v>13</v>
      </c>
      <c r="I281" t="s">
        <v>26</v>
      </c>
    </row>
    <row r="282" spans="1:9" x14ac:dyDescent="0.3">
      <c r="A282">
        <v>281</v>
      </c>
      <c r="B282" t="s">
        <v>29</v>
      </c>
      <c r="C282" s="2">
        <v>45830</v>
      </c>
      <c r="D282" s="2">
        <v>45847</v>
      </c>
      <c r="E282">
        <v>35</v>
      </c>
      <c r="F282">
        <v>9</v>
      </c>
      <c r="G282" s="5">
        <v>280.10000000000002</v>
      </c>
      <c r="H282" t="s">
        <v>13</v>
      </c>
      <c r="I282" t="s">
        <v>24</v>
      </c>
    </row>
    <row r="283" spans="1:9" x14ac:dyDescent="0.3">
      <c r="A283">
        <v>282</v>
      </c>
      <c r="B283" t="s">
        <v>18</v>
      </c>
      <c r="C283" s="2">
        <v>45804</v>
      </c>
      <c r="D283" s="2">
        <v>45828</v>
      </c>
      <c r="E283">
        <v>58</v>
      </c>
      <c r="F283">
        <v>10</v>
      </c>
      <c r="G283" s="5">
        <v>281.10000000000002</v>
      </c>
      <c r="H283" t="s">
        <v>16</v>
      </c>
      <c r="I283" t="s">
        <v>24</v>
      </c>
    </row>
    <row r="284" spans="1:9" x14ac:dyDescent="0.3">
      <c r="A284">
        <v>283</v>
      </c>
      <c r="B284" t="s">
        <v>18</v>
      </c>
      <c r="C284" s="2">
        <v>45845</v>
      </c>
      <c r="D284" s="2">
        <v>45887</v>
      </c>
      <c r="E284">
        <v>13</v>
      </c>
      <c r="F284">
        <v>1</v>
      </c>
      <c r="G284" s="5">
        <v>282.10000000000002</v>
      </c>
      <c r="H284" t="s">
        <v>13</v>
      </c>
      <c r="I284" t="s">
        <v>24</v>
      </c>
    </row>
    <row r="285" spans="1:9" x14ac:dyDescent="0.3">
      <c r="A285">
        <v>284</v>
      </c>
      <c r="B285" t="s">
        <v>28</v>
      </c>
      <c r="C285" s="2">
        <v>45817</v>
      </c>
      <c r="D285" s="2">
        <v>45843</v>
      </c>
      <c r="E285">
        <v>44</v>
      </c>
      <c r="F285">
        <v>7</v>
      </c>
      <c r="G285" s="5">
        <v>283.10000000000002</v>
      </c>
      <c r="H285" t="s">
        <v>10</v>
      </c>
      <c r="I285" t="s">
        <v>24</v>
      </c>
    </row>
    <row r="286" spans="1:9" x14ac:dyDescent="0.3">
      <c r="A286">
        <v>285</v>
      </c>
      <c r="B286" t="s">
        <v>23</v>
      </c>
      <c r="C286" s="2">
        <v>45824</v>
      </c>
      <c r="D286" s="2">
        <v>45864</v>
      </c>
      <c r="E286">
        <v>7</v>
      </c>
      <c r="F286">
        <v>2</v>
      </c>
      <c r="G286" s="5">
        <v>284.10000000000002</v>
      </c>
      <c r="H286" t="s">
        <v>13</v>
      </c>
      <c r="I286" t="s">
        <v>11</v>
      </c>
    </row>
    <row r="287" spans="1:9" x14ac:dyDescent="0.3">
      <c r="A287">
        <v>286</v>
      </c>
      <c r="B287" t="s">
        <v>22</v>
      </c>
      <c r="C287" s="2">
        <v>45807</v>
      </c>
      <c r="D287" s="2">
        <v>45830</v>
      </c>
      <c r="E287">
        <v>20</v>
      </c>
      <c r="F287">
        <v>3</v>
      </c>
      <c r="G287" s="5">
        <v>285.10000000000002</v>
      </c>
      <c r="H287" t="s">
        <v>16</v>
      </c>
      <c r="I287" t="s">
        <v>11</v>
      </c>
    </row>
    <row r="288" spans="1:9" x14ac:dyDescent="0.3">
      <c r="A288">
        <v>287</v>
      </c>
      <c r="B288" t="s">
        <v>29</v>
      </c>
      <c r="C288" s="2">
        <v>45807</v>
      </c>
      <c r="D288" s="2">
        <v>45841</v>
      </c>
      <c r="E288">
        <v>60</v>
      </c>
      <c r="F288">
        <v>7</v>
      </c>
      <c r="G288" s="5">
        <v>286.10000000000002</v>
      </c>
      <c r="H288" t="s">
        <v>10</v>
      </c>
      <c r="I288" t="s">
        <v>35</v>
      </c>
    </row>
    <row r="289" spans="1:9" x14ac:dyDescent="0.3">
      <c r="A289">
        <v>288</v>
      </c>
      <c r="B289" t="s">
        <v>31</v>
      </c>
      <c r="C289" s="2">
        <v>45810</v>
      </c>
      <c r="D289" s="2">
        <v>45846</v>
      </c>
      <c r="E289">
        <v>18</v>
      </c>
      <c r="F289">
        <v>9</v>
      </c>
      <c r="G289" s="5">
        <v>287.10000000000002</v>
      </c>
      <c r="H289" t="s">
        <v>13</v>
      </c>
      <c r="I289" t="s">
        <v>35</v>
      </c>
    </row>
    <row r="290" spans="1:9" x14ac:dyDescent="0.3">
      <c r="A290">
        <v>289</v>
      </c>
      <c r="B290" t="s">
        <v>27</v>
      </c>
      <c r="C290" s="2">
        <v>45813</v>
      </c>
      <c r="D290" s="2">
        <v>45858</v>
      </c>
      <c r="E290">
        <v>7</v>
      </c>
      <c r="F290">
        <v>4</v>
      </c>
      <c r="G290" s="5">
        <v>288.10000000000002</v>
      </c>
      <c r="H290" t="s">
        <v>13</v>
      </c>
      <c r="I290" t="s">
        <v>26</v>
      </c>
    </row>
    <row r="291" spans="1:9" x14ac:dyDescent="0.3">
      <c r="A291">
        <v>290</v>
      </c>
      <c r="B291" t="s">
        <v>23</v>
      </c>
      <c r="C291" s="2">
        <v>45833</v>
      </c>
      <c r="D291" s="2">
        <v>45866</v>
      </c>
      <c r="E291">
        <v>39</v>
      </c>
      <c r="F291">
        <v>9</v>
      </c>
      <c r="G291" s="5">
        <v>289.10000000000002</v>
      </c>
      <c r="H291" t="s">
        <v>10</v>
      </c>
      <c r="I291" t="s">
        <v>35</v>
      </c>
    </row>
    <row r="292" spans="1:9" x14ac:dyDescent="0.3">
      <c r="A292">
        <v>291</v>
      </c>
      <c r="B292" t="s">
        <v>23</v>
      </c>
      <c r="C292" s="2">
        <v>45821</v>
      </c>
      <c r="D292" s="2">
        <v>45846</v>
      </c>
      <c r="E292">
        <v>36</v>
      </c>
      <c r="F292">
        <v>9</v>
      </c>
      <c r="G292" s="5">
        <v>290.10000000000002</v>
      </c>
      <c r="H292" t="s">
        <v>16</v>
      </c>
      <c r="I292" t="s">
        <v>19</v>
      </c>
    </row>
    <row r="293" spans="1:9" x14ac:dyDescent="0.3">
      <c r="A293">
        <v>292</v>
      </c>
      <c r="B293" t="s">
        <v>34</v>
      </c>
      <c r="C293" s="2">
        <v>45804</v>
      </c>
      <c r="D293" s="2">
        <v>45845</v>
      </c>
      <c r="E293">
        <v>30</v>
      </c>
      <c r="F293">
        <v>6</v>
      </c>
      <c r="G293" s="5">
        <v>291.10000000000002</v>
      </c>
      <c r="H293" t="s">
        <v>16</v>
      </c>
      <c r="I293" t="s">
        <v>11</v>
      </c>
    </row>
    <row r="294" spans="1:9" x14ac:dyDescent="0.3">
      <c r="A294">
        <v>293</v>
      </c>
      <c r="B294" t="s">
        <v>30</v>
      </c>
      <c r="C294" s="2">
        <v>45830</v>
      </c>
      <c r="D294" s="2">
        <v>45858</v>
      </c>
      <c r="E294">
        <v>5</v>
      </c>
      <c r="F294">
        <v>3</v>
      </c>
      <c r="G294" s="5">
        <v>292.10000000000002</v>
      </c>
      <c r="H294" t="s">
        <v>16</v>
      </c>
      <c r="I294" t="s">
        <v>19</v>
      </c>
    </row>
    <row r="295" spans="1:9" x14ac:dyDescent="0.3">
      <c r="A295">
        <v>294</v>
      </c>
      <c r="B295" t="s">
        <v>36</v>
      </c>
      <c r="C295" s="2">
        <v>45825</v>
      </c>
      <c r="D295" s="2">
        <v>45856</v>
      </c>
      <c r="E295">
        <v>12</v>
      </c>
      <c r="F295">
        <v>3</v>
      </c>
      <c r="G295" s="5">
        <v>293.10000000000002</v>
      </c>
      <c r="H295" t="s">
        <v>25</v>
      </c>
      <c r="I295" t="s">
        <v>24</v>
      </c>
    </row>
    <row r="296" spans="1:9" x14ac:dyDescent="0.3">
      <c r="A296">
        <v>295</v>
      </c>
      <c r="B296" t="s">
        <v>30</v>
      </c>
      <c r="C296" s="2">
        <v>45812</v>
      </c>
      <c r="D296" s="2">
        <v>45846</v>
      </c>
      <c r="E296">
        <v>48</v>
      </c>
      <c r="F296">
        <v>4</v>
      </c>
      <c r="G296" s="5">
        <v>294.10000000000002</v>
      </c>
      <c r="H296" t="s">
        <v>25</v>
      </c>
      <c r="I296" t="s">
        <v>26</v>
      </c>
    </row>
    <row r="297" spans="1:9" x14ac:dyDescent="0.3">
      <c r="A297">
        <v>296</v>
      </c>
      <c r="B297" t="s">
        <v>29</v>
      </c>
      <c r="C297" s="2">
        <v>45814</v>
      </c>
      <c r="D297" s="2">
        <v>45845</v>
      </c>
      <c r="E297">
        <v>23</v>
      </c>
      <c r="F297">
        <v>7</v>
      </c>
      <c r="G297" s="5">
        <v>295.10000000000002</v>
      </c>
      <c r="H297" t="s">
        <v>25</v>
      </c>
      <c r="I297" t="s">
        <v>21</v>
      </c>
    </row>
    <row r="298" spans="1:9" x14ac:dyDescent="0.3">
      <c r="A298">
        <v>297</v>
      </c>
      <c r="B298" t="s">
        <v>23</v>
      </c>
      <c r="C298" s="2">
        <v>45805</v>
      </c>
      <c r="D298" s="2">
        <v>45841</v>
      </c>
      <c r="E298">
        <v>48</v>
      </c>
      <c r="F298">
        <v>6</v>
      </c>
      <c r="G298" s="5">
        <v>296.10000000000002</v>
      </c>
      <c r="H298" t="s">
        <v>10</v>
      </c>
      <c r="I298" t="s">
        <v>11</v>
      </c>
    </row>
    <row r="299" spans="1:9" x14ac:dyDescent="0.3">
      <c r="A299">
        <v>298</v>
      </c>
      <c r="B299" t="s">
        <v>30</v>
      </c>
      <c r="C299" s="2">
        <v>45815</v>
      </c>
      <c r="D299" s="2">
        <v>45845</v>
      </c>
      <c r="E299">
        <v>43</v>
      </c>
      <c r="F299">
        <v>4</v>
      </c>
      <c r="G299" s="5">
        <v>297.10000000000002</v>
      </c>
      <c r="H299" t="s">
        <v>13</v>
      </c>
      <c r="I299" t="s">
        <v>19</v>
      </c>
    </row>
    <row r="300" spans="1:9" x14ac:dyDescent="0.3">
      <c r="A300">
        <v>299</v>
      </c>
      <c r="B300" t="s">
        <v>9</v>
      </c>
      <c r="C300" s="2">
        <v>45836</v>
      </c>
      <c r="D300" s="2">
        <v>45873</v>
      </c>
      <c r="E300">
        <v>50</v>
      </c>
      <c r="F300">
        <v>3</v>
      </c>
      <c r="G300" s="5">
        <v>298.10000000000002</v>
      </c>
      <c r="H300" t="s">
        <v>16</v>
      </c>
      <c r="I300" t="s">
        <v>24</v>
      </c>
    </row>
    <row r="301" spans="1:9" x14ac:dyDescent="0.3">
      <c r="A301">
        <v>300</v>
      </c>
      <c r="B301" t="s">
        <v>15</v>
      </c>
      <c r="C301" s="2">
        <v>45805</v>
      </c>
      <c r="D301" s="2">
        <v>45846</v>
      </c>
      <c r="E301">
        <v>60</v>
      </c>
      <c r="F301">
        <v>8</v>
      </c>
      <c r="G301" s="5">
        <v>299.10000000000002</v>
      </c>
      <c r="H301" t="s">
        <v>16</v>
      </c>
      <c r="I301" t="s">
        <v>21</v>
      </c>
    </row>
    <row r="302" spans="1:9" x14ac:dyDescent="0.3">
      <c r="A302">
        <v>301</v>
      </c>
      <c r="B302" t="s">
        <v>33</v>
      </c>
      <c r="C302" s="2">
        <v>45839</v>
      </c>
      <c r="D302" s="2">
        <v>45862</v>
      </c>
      <c r="E302">
        <v>23</v>
      </c>
      <c r="F302">
        <v>9</v>
      </c>
      <c r="G302" s="5">
        <v>300.10000000000002</v>
      </c>
      <c r="H302" t="s">
        <v>13</v>
      </c>
      <c r="I302" t="s">
        <v>26</v>
      </c>
    </row>
    <row r="303" spans="1:9" x14ac:dyDescent="0.3">
      <c r="A303">
        <v>302</v>
      </c>
      <c r="B303" t="s">
        <v>32</v>
      </c>
      <c r="C303" s="2">
        <v>45806</v>
      </c>
      <c r="D303" s="2">
        <v>45845</v>
      </c>
      <c r="E303">
        <v>53</v>
      </c>
      <c r="F303">
        <v>2</v>
      </c>
      <c r="G303" s="5">
        <v>301.10000000000002</v>
      </c>
      <c r="H303" t="s">
        <v>16</v>
      </c>
      <c r="I303" t="s">
        <v>19</v>
      </c>
    </row>
    <row r="304" spans="1:9" x14ac:dyDescent="0.3">
      <c r="A304">
        <v>303</v>
      </c>
      <c r="B304" t="s">
        <v>22</v>
      </c>
      <c r="C304" s="2">
        <v>45815</v>
      </c>
      <c r="D304" s="2">
        <v>45845</v>
      </c>
      <c r="E304">
        <v>46</v>
      </c>
      <c r="F304">
        <v>9</v>
      </c>
      <c r="G304" s="5">
        <v>302.10000000000002</v>
      </c>
      <c r="H304" t="s">
        <v>16</v>
      </c>
      <c r="I304" t="s">
        <v>35</v>
      </c>
    </row>
    <row r="305" spans="1:9" x14ac:dyDescent="0.3">
      <c r="A305">
        <v>304</v>
      </c>
      <c r="B305" t="s">
        <v>18</v>
      </c>
      <c r="C305" s="2">
        <v>45806</v>
      </c>
      <c r="D305" s="2">
        <v>45821</v>
      </c>
      <c r="E305">
        <v>59</v>
      </c>
      <c r="F305">
        <v>9</v>
      </c>
      <c r="G305" s="5">
        <v>303.10000000000002</v>
      </c>
      <c r="H305" t="s">
        <v>13</v>
      </c>
      <c r="I305" t="s">
        <v>24</v>
      </c>
    </row>
    <row r="306" spans="1:9" x14ac:dyDescent="0.3">
      <c r="A306">
        <v>305</v>
      </c>
      <c r="B306" t="s">
        <v>27</v>
      </c>
      <c r="C306" s="2">
        <v>45813</v>
      </c>
      <c r="D306" s="2">
        <v>45843</v>
      </c>
      <c r="E306">
        <v>39</v>
      </c>
      <c r="F306">
        <v>4</v>
      </c>
      <c r="G306" s="5">
        <v>304.10000000000002</v>
      </c>
      <c r="H306" t="s">
        <v>10</v>
      </c>
      <c r="I306" t="s">
        <v>24</v>
      </c>
    </row>
    <row r="307" spans="1:9" x14ac:dyDescent="0.3">
      <c r="A307">
        <v>306</v>
      </c>
      <c r="B307" t="s">
        <v>32</v>
      </c>
      <c r="C307" s="2">
        <v>45821</v>
      </c>
      <c r="D307" s="2">
        <v>45849</v>
      </c>
      <c r="E307">
        <v>17</v>
      </c>
      <c r="F307">
        <v>10</v>
      </c>
      <c r="G307" s="5">
        <v>305.10000000000002</v>
      </c>
      <c r="H307" t="s">
        <v>13</v>
      </c>
      <c r="I307" t="s">
        <v>21</v>
      </c>
    </row>
    <row r="308" spans="1:9" x14ac:dyDescent="0.3">
      <c r="A308">
        <v>307</v>
      </c>
      <c r="B308" t="s">
        <v>17</v>
      </c>
      <c r="C308" s="2">
        <v>45828</v>
      </c>
      <c r="D308" s="2">
        <v>45856</v>
      </c>
      <c r="E308">
        <v>28</v>
      </c>
      <c r="F308">
        <v>9</v>
      </c>
      <c r="G308" s="5">
        <v>306.10000000000002</v>
      </c>
      <c r="H308" t="s">
        <v>10</v>
      </c>
      <c r="I308" t="s">
        <v>11</v>
      </c>
    </row>
    <row r="309" spans="1:9" x14ac:dyDescent="0.3">
      <c r="A309">
        <v>308</v>
      </c>
      <c r="B309" t="s">
        <v>22</v>
      </c>
      <c r="C309" s="2">
        <v>45815</v>
      </c>
      <c r="D309" s="2">
        <v>45860</v>
      </c>
      <c r="E309">
        <v>59</v>
      </c>
      <c r="F309">
        <v>3</v>
      </c>
      <c r="G309" s="5">
        <v>307.10000000000002</v>
      </c>
      <c r="H309" t="s">
        <v>13</v>
      </c>
      <c r="I309" t="s">
        <v>14</v>
      </c>
    </row>
    <row r="310" spans="1:9" x14ac:dyDescent="0.3">
      <c r="A310">
        <v>309</v>
      </c>
      <c r="B310" t="s">
        <v>34</v>
      </c>
      <c r="C310" s="2">
        <v>45833</v>
      </c>
      <c r="D310" s="2">
        <v>45849</v>
      </c>
      <c r="E310">
        <v>32</v>
      </c>
      <c r="F310">
        <v>1</v>
      </c>
      <c r="G310" s="5">
        <v>308.10000000000002</v>
      </c>
      <c r="H310" t="s">
        <v>25</v>
      </c>
      <c r="I310" t="s">
        <v>14</v>
      </c>
    </row>
    <row r="311" spans="1:9" x14ac:dyDescent="0.3">
      <c r="A311">
        <v>310</v>
      </c>
      <c r="B311" t="s">
        <v>30</v>
      </c>
      <c r="C311" s="2">
        <v>45841</v>
      </c>
      <c r="D311" s="2">
        <v>45862</v>
      </c>
      <c r="E311">
        <v>25</v>
      </c>
      <c r="F311">
        <v>4</v>
      </c>
      <c r="G311" s="5">
        <v>309.10000000000002</v>
      </c>
      <c r="H311" t="s">
        <v>16</v>
      </c>
      <c r="I311" t="s">
        <v>11</v>
      </c>
    </row>
    <row r="312" spans="1:9" x14ac:dyDescent="0.3">
      <c r="A312">
        <v>311</v>
      </c>
      <c r="B312" t="s">
        <v>31</v>
      </c>
      <c r="C312" s="2">
        <v>45812</v>
      </c>
      <c r="D312" s="2">
        <v>45843</v>
      </c>
      <c r="E312">
        <v>59</v>
      </c>
      <c r="F312">
        <v>7</v>
      </c>
      <c r="G312" s="5">
        <v>310.10000000000002</v>
      </c>
      <c r="H312" t="s">
        <v>10</v>
      </c>
      <c r="I312" t="s">
        <v>35</v>
      </c>
    </row>
    <row r="313" spans="1:9" x14ac:dyDescent="0.3">
      <c r="A313">
        <v>312</v>
      </c>
      <c r="B313" t="s">
        <v>36</v>
      </c>
      <c r="C313" s="2">
        <v>45804</v>
      </c>
      <c r="D313" s="2">
        <v>45824</v>
      </c>
      <c r="E313">
        <v>10</v>
      </c>
      <c r="F313">
        <v>10</v>
      </c>
      <c r="G313" s="5">
        <v>311.10000000000002</v>
      </c>
      <c r="H313" t="s">
        <v>10</v>
      </c>
      <c r="I313" t="s">
        <v>19</v>
      </c>
    </row>
    <row r="314" spans="1:9" x14ac:dyDescent="0.3">
      <c r="A314">
        <v>313</v>
      </c>
      <c r="B314" t="s">
        <v>30</v>
      </c>
      <c r="C314" s="2">
        <v>45823</v>
      </c>
      <c r="D314" s="2">
        <v>45852</v>
      </c>
      <c r="E314">
        <v>13</v>
      </c>
      <c r="F314">
        <v>8</v>
      </c>
      <c r="G314" s="5">
        <v>312.10000000000002</v>
      </c>
      <c r="H314" t="s">
        <v>10</v>
      </c>
      <c r="I314" t="s">
        <v>24</v>
      </c>
    </row>
    <row r="315" spans="1:9" x14ac:dyDescent="0.3">
      <c r="A315">
        <v>314</v>
      </c>
      <c r="B315" t="s">
        <v>31</v>
      </c>
      <c r="C315" s="2">
        <v>45813</v>
      </c>
      <c r="D315" s="2">
        <v>45834</v>
      </c>
      <c r="E315">
        <v>31</v>
      </c>
      <c r="F315">
        <v>6</v>
      </c>
      <c r="G315" s="5">
        <v>313.10000000000002</v>
      </c>
      <c r="H315" t="s">
        <v>10</v>
      </c>
      <c r="I315" t="s">
        <v>21</v>
      </c>
    </row>
    <row r="316" spans="1:9" x14ac:dyDescent="0.3">
      <c r="A316">
        <v>315</v>
      </c>
      <c r="B316" t="s">
        <v>37</v>
      </c>
      <c r="C316" s="2">
        <v>45815</v>
      </c>
      <c r="D316" s="2">
        <v>45859</v>
      </c>
      <c r="E316">
        <v>24</v>
      </c>
      <c r="F316">
        <v>1</v>
      </c>
      <c r="G316" s="5">
        <v>314.10000000000002</v>
      </c>
      <c r="H316" t="s">
        <v>25</v>
      </c>
      <c r="I316" t="s">
        <v>11</v>
      </c>
    </row>
    <row r="317" spans="1:9" x14ac:dyDescent="0.3">
      <c r="A317">
        <v>316</v>
      </c>
      <c r="B317" t="s">
        <v>9</v>
      </c>
      <c r="C317" s="2">
        <v>45822</v>
      </c>
      <c r="D317" s="2">
        <v>45862</v>
      </c>
      <c r="E317">
        <v>5</v>
      </c>
      <c r="F317">
        <v>3</v>
      </c>
      <c r="G317" s="5">
        <v>315.10000000000002</v>
      </c>
      <c r="H317" t="s">
        <v>13</v>
      </c>
      <c r="I317" t="s">
        <v>35</v>
      </c>
    </row>
    <row r="318" spans="1:9" x14ac:dyDescent="0.3">
      <c r="A318">
        <v>317</v>
      </c>
      <c r="B318" t="s">
        <v>18</v>
      </c>
      <c r="C318" s="2">
        <v>45815</v>
      </c>
      <c r="D318" s="2">
        <v>45835</v>
      </c>
      <c r="E318">
        <v>13</v>
      </c>
      <c r="F318">
        <v>6</v>
      </c>
      <c r="G318" s="5">
        <v>316.10000000000002</v>
      </c>
      <c r="H318" t="s">
        <v>10</v>
      </c>
      <c r="I318" t="s">
        <v>11</v>
      </c>
    </row>
    <row r="319" spans="1:9" x14ac:dyDescent="0.3">
      <c r="A319">
        <v>318</v>
      </c>
      <c r="B319" t="s">
        <v>28</v>
      </c>
      <c r="C319" s="2">
        <v>45802</v>
      </c>
      <c r="D319" s="2">
        <v>45831</v>
      </c>
      <c r="E319">
        <v>20</v>
      </c>
      <c r="F319">
        <v>3</v>
      </c>
      <c r="G319" s="5">
        <v>317.10000000000002</v>
      </c>
      <c r="H319" t="s">
        <v>16</v>
      </c>
      <c r="I319" t="s">
        <v>11</v>
      </c>
    </row>
    <row r="320" spans="1:9" x14ac:dyDescent="0.3">
      <c r="A320">
        <v>319</v>
      </c>
      <c r="B320" t="s">
        <v>17</v>
      </c>
      <c r="C320" s="2">
        <v>45811</v>
      </c>
      <c r="D320" s="2">
        <v>45839</v>
      </c>
      <c r="E320">
        <v>24</v>
      </c>
      <c r="F320">
        <v>2</v>
      </c>
      <c r="G320" s="5">
        <v>318.10000000000002</v>
      </c>
      <c r="H320" t="s">
        <v>10</v>
      </c>
      <c r="I320" t="s">
        <v>24</v>
      </c>
    </row>
    <row r="321" spans="1:9" x14ac:dyDescent="0.3">
      <c r="A321">
        <v>320</v>
      </c>
      <c r="B321" t="s">
        <v>30</v>
      </c>
      <c r="C321" s="2">
        <v>45802</v>
      </c>
      <c r="D321" s="2">
        <v>45847</v>
      </c>
      <c r="E321">
        <v>48</v>
      </c>
      <c r="F321">
        <v>7</v>
      </c>
      <c r="G321" s="5">
        <v>319.10000000000002</v>
      </c>
      <c r="H321" t="s">
        <v>25</v>
      </c>
      <c r="I321" t="s">
        <v>24</v>
      </c>
    </row>
    <row r="322" spans="1:9" x14ac:dyDescent="0.3">
      <c r="A322">
        <v>321</v>
      </c>
      <c r="B322" t="s">
        <v>23</v>
      </c>
      <c r="C322" s="2">
        <v>45845</v>
      </c>
      <c r="D322" s="2">
        <v>45882</v>
      </c>
      <c r="E322">
        <v>37</v>
      </c>
      <c r="F322">
        <v>9</v>
      </c>
      <c r="G322" s="5">
        <v>320.10000000000002</v>
      </c>
      <c r="H322" t="s">
        <v>13</v>
      </c>
      <c r="I322" t="s">
        <v>26</v>
      </c>
    </row>
    <row r="323" spans="1:9" x14ac:dyDescent="0.3">
      <c r="A323">
        <v>322</v>
      </c>
      <c r="B323" t="s">
        <v>27</v>
      </c>
      <c r="C323" s="2">
        <v>45839</v>
      </c>
      <c r="D323" s="2">
        <v>45876</v>
      </c>
      <c r="E323">
        <v>48</v>
      </c>
      <c r="F323">
        <v>3</v>
      </c>
      <c r="G323" s="5">
        <v>321.10000000000002</v>
      </c>
      <c r="H323" t="s">
        <v>25</v>
      </c>
      <c r="I323" t="s">
        <v>26</v>
      </c>
    </row>
    <row r="324" spans="1:9" x14ac:dyDescent="0.3">
      <c r="A324">
        <v>323</v>
      </c>
      <c r="B324" t="s">
        <v>12</v>
      </c>
      <c r="C324" s="2">
        <v>45835</v>
      </c>
      <c r="D324" s="2">
        <v>45876</v>
      </c>
      <c r="E324">
        <v>60</v>
      </c>
      <c r="F324">
        <v>10</v>
      </c>
      <c r="G324" s="5">
        <v>322.10000000000002</v>
      </c>
      <c r="H324" t="s">
        <v>13</v>
      </c>
      <c r="I324" t="s">
        <v>14</v>
      </c>
    </row>
    <row r="325" spans="1:9" x14ac:dyDescent="0.3">
      <c r="A325">
        <v>324</v>
      </c>
      <c r="B325" t="s">
        <v>22</v>
      </c>
      <c r="C325" s="2">
        <v>45831</v>
      </c>
      <c r="D325" s="2">
        <v>45851</v>
      </c>
      <c r="E325">
        <v>41</v>
      </c>
      <c r="F325">
        <v>6</v>
      </c>
      <c r="G325" s="5">
        <v>323.10000000000002</v>
      </c>
      <c r="H325" t="s">
        <v>16</v>
      </c>
      <c r="I325" t="s">
        <v>11</v>
      </c>
    </row>
    <row r="326" spans="1:9" x14ac:dyDescent="0.3">
      <c r="A326">
        <v>325</v>
      </c>
      <c r="B326" t="s">
        <v>17</v>
      </c>
      <c r="C326" s="2">
        <v>45822</v>
      </c>
      <c r="D326" s="2">
        <v>45845</v>
      </c>
      <c r="E326">
        <v>23</v>
      </c>
      <c r="F326">
        <v>6</v>
      </c>
      <c r="G326" s="5">
        <v>324.10000000000002</v>
      </c>
      <c r="H326" t="s">
        <v>25</v>
      </c>
      <c r="I326" t="s">
        <v>21</v>
      </c>
    </row>
    <row r="327" spans="1:9" x14ac:dyDescent="0.3">
      <c r="A327">
        <v>326</v>
      </c>
      <c r="B327" t="s">
        <v>31</v>
      </c>
      <c r="C327" s="2">
        <v>45831</v>
      </c>
      <c r="D327" s="2">
        <v>45870</v>
      </c>
      <c r="E327">
        <v>34</v>
      </c>
      <c r="F327">
        <v>7</v>
      </c>
      <c r="G327" s="5">
        <v>325.10000000000002</v>
      </c>
      <c r="H327" t="s">
        <v>10</v>
      </c>
      <c r="I327" t="s">
        <v>11</v>
      </c>
    </row>
    <row r="328" spans="1:9" x14ac:dyDescent="0.3">
      <c r="A328">
        <v>327</v>
      </c>
      <c r="B328" t="s">
        <v>32</v>
      </c>
      <c r="C328" s="2">
        <v>45815</v>
      </c>
      <c r="D328" s="2">
        <v>45830</v>
      </c>
      <c r="E328">
        <v>47</v>
      </c>
      <c r="F328">
        <v>5</v>
      </c>
      <c r="G328" s="5">
        <v>326.10000000000002</v>
      </c>
      <c r="H328" t="s">
        <v>13</v>
      </c>
      <c r="I328" t="s">
        <v>14</v>
      </c>
    </row>
    <row r="329" spans="1:9" x14ac:dyDescent="0.3">
      <c r="A329">
        <v>328</v>
      </c>
      <c r="B329" t="s">
        <v>37</v>
      </c>
      <c r="C329" s="2">
        <v>45831</v>
      </c>
      <c r="D329" s="2">
        <v>45870</v>
      </c>
      <c r="E329">
        <v>14</v>
      </c>
      <c r="F329">
        <v>9</v>
      </c>
      <c r="G329" s="5">
        <v>327.10000000000002</v>
      </c>
      <c r="H329" t="s">
        <v>13</v>
      </c>
      <c r="I329" t="s">
        <v>26</v>
      </c>
    </row>
    <row r="330" spans="1:9" x14ac:dyDescent="0.3">
      <c r="A330">
        <v>329</v>
      </c>
      <c r="B330" t="s">
        <v>29</v>
      </c>
      <c r="C330" s="2">
        <v>45842</v>
      </c>
      <c r="D330" s="2">
        <v>45862</v>
      </c>
      <c r="E330">
        <v>55</v>
      </c>
      <c r="F330">
        <v>2</v>
      </c>
      <c r="G330" s="5">
        <v>328.1</v>
      </c>
      <c r="H330" t="s">
        <v>13</v>
      </c>
      <c r="I330" t="s">
        <v>11</v>
      </c>
    </row>
    <row r="331" spans="1:9" x14ac:dyDescent="0.3">
      <c r="A331">
        <v>330</v>
      </c>
      <c r="B331" t="s">
        <v>29</v>
      </c>
      <c r="C331" s="2">
        <v>45832</v>
      </c>
      <c r="D331" s="2">
        <v>45858</v>
      </c>
      <c r="E331">
        <v>9</v>
      </c>
      <c r="F331">
        <v>9</v>
      </c>
      <c r="G331" s="5">
        <v>329.1</v>
      </c>
      <c r="H331" t="s">
        <v>13</v>
      </c>
      <c r="I331" t="s">
        <v>26</v>
      </c>
    </row>
    <row r="332" spans="1:9" x14ac:dyDescent="0.3">
      <c r="A332">
        <v>331</v>
      </c>
      <c r="B332" t="s">
        <v>12</v>
      </c>
      <c r="C332" s="2">
        <v>45808</v>
      </c>
      <c r="D332" s="2">
        <v>45841</v>
      </c>
      <c r="E332">
        <v>54</v>
      </c>
      <c r="F332">
        <v>3</v>
      </c>
      <c r="G332" s="5">
        <v>330.1</v>
      </c>
      <c r="H332" t="s">
        <v>16</v>
      </c>
      <c r="I332" t="s">
        <v>19</v>
      </c>
    </row>
    <row r="333" spans="1:9" x14ac:dyDescent="0.3">
      <c r="A333">
        <v>332</v>
      </c>
      <c r="B333" t="s">
        <v>9</v>
      </c>
      <c r="C333" s="2">
        <v>45831</v>
      </c>
      <c r="D333" s="2">
        <v>45847</v>
      </c>
      <c r="E333">
        <v>11</v>
      </c>
      <c r="F333">
        <v>3</v>
      </c>
      <c r="G333" s="5">
        <v>331.1</v>
      </c>
      <c r="H333" t="s">
        <v>10</v>
      </c>
      <c r="I333" t="s">
        <v>21</v>
      </c>
    </row>
    <row r="334" spans="1:9" x14ac:dyDescent="0.3">
      <c r="A334">
        <v>333</v>
      </c>
      <c r="B334" t="s">
        <v>20</v>
      </c>
      <c r="C334" s="2">
        <v>45833</v>
      </c>
      <c r="D334" s="2">
        <v>45857</v>
      </c>
      <c r="E334">
        <v>9</v>
      </c>
      <c r="F334">
        <v>4</v>
      </c>
      <c r="G334" s="5">
        <v>332.1</v>
      </c>
      <c r="H334" t="s">
        <v>13</v>
      </c>
      <c r="I334" t="s">
        <v>19</v>
      </c>
    </row>
    <row r="335" spans="1:9" x14ac:dyDescent="0.3">
      <c r="A335">
        <v>334</v>
      </c>
      <c r="B335" t="s">
        <v>29</v>
      </c>
      <c r="C335" s="2">
        <v>45815</v>
      </c>
      <c r="D335" s="2">
        <v>45852</v>
      </c>
      <c r="E335">
        <v>48</v>
      </c>
      <c r="F335">
        <v>10</v>
      </c>
      <c r="G335" s="5">
        <v>333.1</v>
      </c>
      <c r="H335" t="s">
        <v>16</v>
      </c>
      <c r="I335" t="s">
        <v>21</v>
      </c>
    </row>
    <row r="336" spans="1:9" x14ac:dyDescent="0.3">
      <c r="A336">
        <v>335</v>
      </c>
      <c r="B336" t="s">
        <v>33</v>
      </c>
      <c r="C336" s="2">
        <v>45804</v>
      </c>
      <c r="D336" s="2">
        <v>45821</v>
      </c>
      <c r="E336">
        <v>9</v>
      </c>
      <c r="F336">
        <v>1</v>
      </c>
      <c r="G336" s="5">
        <v>334.1</v>
      </c>
      <c r="H336" t="s">
        <v>25</v>
      </c>
      <c r="I336" t="s">
        <v>35</v>
      </c>
    </row>
    <row r="337" spans="1:9" x14ac:dyDescent="0.3">
      <c r="A337">
        <v>336</v>
      </c>
      <c r="B337" t="s">
        <v>37</v>
      </c>
      <c r="C337" s="2">
        <v>45832</v>
      </c>
      <c r="D337" s="2">
        <v>45850</v>
      </c>
      <c r="E337">
        <v>7</v>
      </c>
      <c r="F337">
        <v>8</v>
      </c>
      <c r="G337" s="5">
        <v>335.1</v>
      </c>
      <c r="H337" t="s">
        <v>10</v>
      </c>
      <c r="I337" t="s">
        <v>24</v>
      </c>
    </row>
    <row r="338" spans="1:9" x14ac:dyDescent="0.3">
      <c r="A338">
        <v>337</v>
      </c>
      <c r="B338" t="s">
        <v>37</v>
      </c>
      <c r="C338" s="2">
        <v>45808</v>
      </c>
      <c r="D338" s="2">
        <v>45827</v>
      </c>
      <c r="E338">
        <v>52</v>
      </c>
      <c r="F338">
        <v>6</v>
      </c>
      <c r="G338" s="5">
        <v>336.1</v>
      </c>
      <c r="H338" t="s">
        <v>16</v>
      </c>
      <c r="I338" t="s">
        <v>35</v>
      </c>
    </row>
    <row r="339" spans="1:9" x14ac:dyDescent="0.3">
      <c r="A339">
        <v>338</v>
      </c>
      <c r="B339" t="s">
        <v>36</v>
      </c>
      <c r="C339" s="2">
        <v>45804</v>
      </c>
      <c r="D339" s="2">
        <v>45820</v>
      </c>
      <c r="E339">
        <v>36</v>
      </c>
      <c r="F339">
        <v>2</v>
      </c>
      <c r="G339" s="5">
        <v>337.1</v>
      </c>
      <c r="H339" t="s">
        <v>10</v>
      </c>
      <c r="I339" t="s">
        <v>14</v>
      </c>
    </row>
    <row r="340" spans="1:9" x14ac:dyDescent="0.3">
      <c r="A340">
        <v>339</v>
      </c>
      <c r="B340" t="s">
        <v>27</v>
      </c>
      <c r="C340" s="2">
        <v>45813</v>
      </c>
      <c r="D340" s="2">
        <v>45831</v>
      </c>
      <c r="E340">
        <v>10</v>
      </c>
      <c r="F340">
        <v>10</v>
      </c>
      <c r="G340" s="5">
        <v>338.1</v>
      </c>
      <c r="H340" t="s">
        <v>13</v>
      </c>
      <c r="I340" t="s">
        <v>11</v>
      </c>
    </row>
    <row r="341" spans="1:9" x14ac:dyDescent="0.3">
      <c r="A341">
        <v>340</v>
      </c>
      <c r="B341" t="s">
        <v>12</v>
      </c>
      <c r="C341" s="2">
        <v>45802</v>
      </c>
      <c r="D341" s="2">
        <v>45843</v>
      </c>
      <c r="E341">
        <v>42</v>
      </c>
      <c r="F341">
        <v>8</v>
      </c>
      <c r="G341" s="5">
        <v>339.1</v>
      </c>
      <c r="H341" t="s">
        <v>10</v>
      </c>
      <c r="I341" t="s">
        <v>26</v>
      </c>
    </row>
    <row r="342" spans="1:9" x14ac:dyDescent="0.3">
      <c r="A342">
        <v>341</v>
      </c>
      <c r="B342" t="s">
        <v>34</v>
      </c>
      <c r="C342" s="2">
        <v>45846</v>
      </c>
      <c r="D342" s="2">
        <v>45891</v>
      </c>
      <c r="E342">
        <v>28</v>
      </c>
      <c r="F342">
        <v>7</v>
      </c>
      <c r="G342" s="5">
        <v>340.1</v>
      </c>
      <c r="H342" t="s">
        <v>25</v>
      </c>
      <c r="I342" t="s">
        <v>24</v>
      </c>
    </row>
    <row r="343" spans="1:9" x14ac:dyDescent="0.3">
      <c r="A343">
        <v>342</v>
      </c>
      <c r="B343" t="s">
        <v>27</v>
      </c>
      <c r="C343" s="2">
        <v>45829</v>
      </c>
      <c r="D343" s="2">
        <v>45869</v>
      </c>
      <c r="E343">
        <v>53</v>
      </c>
      <c r="F343">
        <v>6</v>
      </c>
      <c r="G343" s="5">
        <v>341.1</v>
      </c>
      <c r="H343" t="s">
        <v>16</v>
      </c>
      <c r="I343" t="s">
        <v>21</v>
      </c>
    </row>
    <row r="344" spans="1:9" x14ac:dyDescent="0.3">
      <c r="A344">
        <v>343</v>
      </c>
      <c r="B344" t="s">
        <v>37</v>
      </c>
      <c r="C344" s="2">
        <v>45821</v>
      </c>
      <c r="D344" s="2">
        <v>45836</v>
      </c>
      <c r="E344">
        <v>58</v>
      </c>
      <c r="F344">
        <v>6</v>
      </c>
      <c r="G344" s="5">
        <v>342.1</v>
      </c>
      <c r="H344" t="s">
        <v>25</v>
      </c>
      <c r="I344" t="s">
        <v>35</v>
      </c>
    </row>
    <row r="345" spans="1:9" x14ac:dyDescent="0.3">
      <c r="A345">
        <v>344</v>
      </c>
      <c r="B345" t="s">
        <v>37</v>
      </c>
      <c r="C345" s="2">
        <v>45814</v>
      </c>
      <c r="D345" s="2">
        <v>45859</v>
      </c>
      <c r="E345">
        <v>40</v>
      </c>
      <c r="F345">
        <v>10</v>
      </c>
      <c r="G345" s="5">
        <v>343.1</v>
      </c>
      <c r="H345" t="s">
        <v>10</v>
      </c>
      <c r="I345" t="s">
        <v>26</v>
      </c>
    </row>
    <row r="346" spans="1:9" x14ac:dyDescent="0.3">
      <c r="A346">
        <v>345</v>
      </c>
      <c r="B346" t="s">
        <v>34</v>
      </c>
      <c r="C346" s="2">
        <v>45806</v>
      </c>
      <c r="D346" s="2">
        <v>45840</v>
      </c>
      <c r="E346">
        <v>10</v>
      </c>
      <c r="F346">
        <v>3</v>
      </c>
      <c r="G346" s="5">
        <v>344.1</v>
      </c>
      <c r="H346" t="s">
        <v>10</v>
      </c>
      <c r="I346" t="s">
        <v>11</v>
      </c>
    </row>
    <row r="347" spans="1:9" x14ac:dyDescent="0.3">
      <c r="A347">
        <v>346</v>
      </c>
      <c r="B347" t="s">
        <v>29</v>
      </c>
      <c r="C347" s="2">
        <v>45827</v>
      </c>
      <c r="D347" s="2">
        <v>45855</v>
      </c>
      <c r="E347">
        <v>19</v>
      </c>
      <c r="F347">
        <v>1</v>
      </c>
      <c r="G347" s="5">
        <v>345.1</v>
      </c>
      <c r="H347" t="s">
        <v>10</v>
      </c>
      <c r="I347" t="s">
        <v>11</v>
      </c>
    </row>
    <row r="348" spans="1:9" x14ac:dyDescent="0.3">
      <c r="A348">
        <v>347</v>
      </c>
      <c r="B348" t="s">
        <v>23</v>
      </c>
      <c r="C348" s="2">
        <v>45837</v>
      </c>
      <c r="D348" s="2">
        <v>45855</v>
      </c>
      <c r="E348">
        <v>31</v>
      </c>
      <c r="F348">
        <v>2</v>
      </c>
      <c r="G348" s="5">
        <v>346.1</v>
      </c>
      <c r="H348" t="s">
        <v>16</v>
      </c>
      <c r="I348" t="s">
        <v>11</v>
      </c>
    </row>
    <row r="349" spans="1:9" x14ac:dyDescent="0.3">
      <c r="A349">
        <v>348</v>
      </c>
      <c r="B349" t="s">
        <v>31</v>
      </c>
      <c r="C349" s="2">
        <v>45842</v>
      </c>
      <c r="D349" s="2">
        <v>45870</v>
      </c>
      <c r="E349">
        <v>16</v>
      </c>
      <c r="F349">
        <v>4</v>
      </c>
      <c r="G349" s="5">
        <v>347.1</v>
      </c>
      <c r="H349" t="s">
        <v>13</v>
      </c>
      <c r="I349" t="s">
        <v>14</v>
      </c>
    </row>
    <row r="350" spans="1:9" x14ac:dyDescent="0.3">
      <c r="A350">
        <v>349</v>
      </c>
      <c r="B350" t="s">
        <v>22</v>
      </c>
      <c r="C350" s="2">
        <v>45833</v>
      </c>
      <c r="D350" s="2">
        <v>45861</v>
      </c>
      <c r="E350">
        <v>5</v>
      </c>
      <c r="F350">
        <v>10</v>
      </c>
      <c r="G350" s="5">
        <v>348.1</v>
      </c>
      <c r="H350" t="s">
        <v>16</v>
      </c>
      <c r="I350" t="s">
        <v>11</v>
      </c>
    </row>
    <row r="351" spans="1:9" x14ac:dyDescent="0.3">
      <c r="A351">
        <v>350</v>
      </c>
      <c r="B351" t="s">
        <v>28</v>
      </c>
      <c r="C351" s="2">
        <v>45812</v>
      </c>
      <c r="D351" s="2">
        <v>45827</v>
      </c>
      <c r="E351">
        <v>47</v>
      </c>
      <c r="F351">
        <v>9</v>
      </c>
      <c r="G351" s="5">
        <v>349.1</v>
      </c>
      <c r="H351" t="s">
        <v>25</v>
      </c>
      <c r="I351" t="s">
        <v>19</v>
      </c>
    </row>
    <row r="352" spans="1:9" x14ac:dyDescent="0.3">
      <c r="A352">
        <v>351</v>
      </c>
      <c r="B352" t="s">
        <v>28</v>
      </c>
      <c r="C352" s="2">
        <v>45804</v>
      </c>
      <c r="D352" s="2">
        <v>45820</v>
      </c>
      <c r="E352">
        <v>9</v>
      </c>
      <c r="F352">
        <v>10</v>
      </c>
      <c r="G352" s="5">
        <v>350.1</v>
      </c>
      <c r="H352" t="s">
        <v>13</v>
      </c>
      <c r="I352" t="s">
        <v>14</v>
      </c>
    </row>
    <row r="353" spans="1:9" x14ac:dyDescent="0.3">
      <c r="A353">
        <v>352</v>
      </c>
      <c r="B353" t="s">
        <v>27</v>
      </c>
      <c r="C353" s="2">
        <v>45822</v>
      </c>
      <c r="D353" s="2">
        <v>45843</v>
      </c>
      <c r="E353">
        <v>53</v>
      </c>
      <c r="F353">
        <v>1</v>
      </c>
      <c r="G353" s="5">
        <v>351.1</v>
      </c>
      <c r="H353" t="s">
        <v>13</v>
      </c>
      <c r="I353" t="s">
        <v>26</v>
      </c>
    </row>
    <row r="354" spans="1:9" x14ac:dyDescent="0.3">
      <c r="A354">
        <v>353</v>
      </c>
      <c r="B354" t="s">
        <v>17</v>
      </c>
      <c r="C354" s="2">
        <v>45837</v>
      </c>
      <c r="D354" s="2">
        <v>45880</v>
      </c>
      <c r="E354">
        <v>22</v>
      </c>
      <c r="F354">
        <v>9</v>
      </c>
      <c r="G354" s="5">
        <v>352.1</v>
      </c>
      <c r="H354" t="s">
        <v>16</v>
      </c>
      <c r="I354" t="s">
        <v>35</v>
      </c>
    </row>
    <row r="355" spans="1:9" x14ac:dyDescent="0.3">
      <c r="A355">
        <v>354</v>
      </c>
      <c r="B355" t="s">
        <v>31</v>
      </c>
      <c r="C355" s="2">
        <v>45824</v>
      </c>
      <c r="D355" s="2">
        <v>45866</v>
      </c>
      <c r="E355">
        <v>32</v>
      </c>
      <c r="F355">
        <v>4</v>
      </c>
      <c r="G355" s="5">
        <v>353.1</v>
      </c>
      <c r="H355" t="s">
        <v>25</v>
      </c>
      <c r="I355" t="s">
        <v>26</v>
      </c>
    </row>
    <row r="356" spans="1:9" x14ac:dyDescent="0.3">
      <c r="A356">
        <v>355</v>
      </c>
      <c r="B356" t="s">
        <v>30</v>
      </c>
      <c r="C356" s="2">
        <v>45842</v>
      </c>
      <c r="D356" s="2">
        <v>45862</v>
      </c>
      <c r="E356">
        <v>19</v>
      </c>
      <c r="F356">
        <v>9</v>
      </c>
      <c r="G356" s="5">
        <v>354.1</v>
      </c>
      <c r="H356" t="s">
        <v>13</v>
      </c>
      <c r="I356" t="s">
        <v>19</v>
      </c>
    </row>
    <row r="357" spans="1:9" x14ac:dyDescent="0.3">
      <c r="A357">
        <v>356</v>
      </c>
      <c r="B357" t="s">
        <v>31</v>
      </c>
      <c r="C357" s="2">
        <v>45841</v>
      </c>
      <c r="D357" s="2">
        <v>45863</v>
      </c>
      <c r="E357">
        <v>39</v>
      </c>
      <c r="F357">
        <v>3</v>
      </c>
      <c r="G357" s="5">
        <v>355.1</v>
      </c>
      <c r="H357" t="s">
        <v>13</v>
      </c>
      <c r="I357" t="s">
        <v>19</v>
      </c>
    </row>
    <row r="358" spans="1:9" x14ac:dyDescent="0.3">
      <c r="A358">
        <v>357</v>
      </c>
      <c r="B358" t="s">
        <v>27</v>
      </c>
      <c r="C358" s="2">
        <v>45826</v>
      </c>
      <c r="D358" s="2">
        <v>45842</v>
      </c>
      <c r="E358">
        <v>42</v>
      </c>
      <c r="F358">
        <v>8</v>
      </c>
      <c r="G358" s="5">
        <v>356.1</v>
      </c>
      <c r="H358" t="s">
        <v>25</v>
      </c>
      <c r="I358" t="s">
        <v>24</v>
      </c>
    </row>
    <row r="359" spans="1:9" x14ac:dyDescent="0.3">
      <c r="A359">
        <v>358</v>
      </c>
      <c r="B359" t="s">
        <v>17</v>
      </c>
      <c r="C359" s="2">
        <v>45812</v>
      </c>
      <c r="D359" s="2">
        <v>45841</v>
      </c>
      <c r="E359">
        <v>31</v>
      </c>
      <c r="F359">
        <v>1</v>
      </c>
      <c r="G359" s="5">
        <v>357.1</v>
      </c>
      <c r="H359" t="s">
        <v>16</v>
      </c>
      <c r="I359" t="s">
        <v>14</v>
      </c>
    </row>
    <row r="360" spans="1:9" x14ac:dyDescent="0.3">
      <c r="A360">
        <v>359</v>
      </c>
      <c r="B360" t="s">
        <v>15</v>
      </c>
      <c r="C360" s="2">
        <v>45805</v>
      </c>
      <c r="D360" s="2">
        <v>45829</v>
      </c>
      <c r="E360">
        <v>16</v>
      </c>
      <c r="F360">
        <v>8</v>
      </c>
      <c r="G360" s="5">
        <v>358.1</v>
      </c>
      <c r="H360" t="s">
        <v>25</v>
      </c>
      <c r="I360" t="s">
        <v>14</v>
      </c>
    </row>
    <row r="361" spans="1:9" x14ac:dyDescent="0.3">
      <c r="A361">
        <v>360</v>
      </c>
      <c r="B361" t="s">
        <v>15</v>
      </c>
      <c r="C361" s="2">
        <v>45844</v>
      </c>
      <c r="D361" s="2">
        <v>45879</v>
      </c>
      <c r="E361">
        <v>10</v>
      </c>
      <c r="F361">
        <v>4</v>
      </c>
      <c r="G361" s="5">
        <v>359.1</v>
      </c>
      <c r="H361" t="s">
        <v>10</v>
      </c>
      <c r="I361" t="s">
        <v>26</v>
      </c>
    </row>
    <row r="362" spans="1:9" x14ac:dyDescent="0.3">
      <c r="A362">
        <v>361</v>
      </c>
      <c r="B362" t="s">
        <v>15</v>
      </c>
      <c r="C362" s="2">
        <v>45818</v>
      </c>
      <c r="D362" s="2">
        <v>45843</v>
      </c>
      <c r="E362">
        <v>43</v>
      </c>
      <c r="F362">
        <v>6</v>
      </c>
      <c r="G362" s="5">
        <v>360.1</v>
      </c>
      <c r="H362" t="s">
        <v>16</v>
      </c>
      <c r="I362" t="s">
        <v>21</v>
      </c>
    </row>
    <row r="363" spans="1:9" x14ac:dyDescent="0.3">
      <c r="A363">
        <v>362</v>
      </c>
      <c r="B363" t="s">
        <v>15</v>
      </c>
      <c r="C363" s="2">
        <v>45818</v>
      </c>
      <c r="D363" s="2">
        <v>45836</v>
      </c>
      <c r="E363">
        <v>23</v>
      </c>
      <c r="F363">
        <v>10</v>
      </c>
      <c r="G363" s="5">
        <v>361.1</v>
      </c>
      <c r="H363" t="s">
        <v>10</v>
      </c>
      <c r="I363" t="s">
        <v>26</v>
      </c>
    </row>
    <row r="364" spans="1:9" x14ac:dyDescent="0.3">
      <c r="A364">
        <v>363</v>
      </c>
      <c r="B364" t="s">
        <v>30</v>
      </c>
      <c r="C364" s="2">
        <v>45809</v>
      </c>
      <c r="D364" s="2">
        <v>45831</v>
      </c>
      <c r="E364">
        <v>5</v>
      </c>
      <c r="F364">
        <v>4</v>
      </c>
      <c r="G364" s="5">
        <v>362.1</v>
      </c>
      <c r="H364" t="s">
        <v>25</v>
      </c>
      <c r="I364" t="s">
        <v>35</v>
      </c>
    </row>
    <row r="365" spans="1:9" x14ac:dyDescent="0.3">
      <c r="A365">
        <v>364</v>
      </c>
      <c r="B365" t="s">
        <v>37</v>
      </c>
      <c r="C365" s="2">
        <v>45844</v>
      </c>
      <c r="D365" s="2">
        <v>45880</v>
      </c>
      <c r="E365">
        <v>42</v>
      </c>
      <c r="F365">
        <v>8</v>
      </c>
      <c r="G365" s="5">
        <v>363.1</v>
      </c>
      <c r="H365" t="s">
        <v>25</v>
      </c>
      <c r="I365" t="s">
        <v>19</v>
      </c>
    </row>
    <row r="366" spans="1:9" x14ac:dyDescent="0.3">
      <c r="A366">
        <v>365</v>
      </c>
      <c r="B366" t="s">
        <v>22</v>
      </c>
      <c r="C366" s="2">
        <v>45821</v>
      </c>
      <c r="D366" s="2">
        <v>45839</v>
      </c>
      <c r="E366">
        <v>20</v>
      </c>
      <c r="F366">
        <v>6</v>
      </c>
      <c r="G366" s="5">
        <v>364.1</v>
      </c>
      <c r="H366" t="s">
        <v>10</v>
      </c>
      <c r="I366" t="s">
        <v>26</v>
      </c>
    </row>
    <row r="367" spans="1:9" x14ac:dyDescent="0.3">
      <c r="A367">
        <v>366</v>
      </c>
      <c r="B367" t="s">
        <v>36</v>
      </c>
      <c r="C367" s="2">
        <v>45824</v>
      </c>
      <c r="D367" s="2">
        <v>45856</v>
      </c>
      <c r="E367">
        <v>30</v>
      </c>
      <c r="F367">
        <v>7</v>
      </c>
      <c r="G367" s="5">
        <v>365.1</v>
      </c>
      <c r="H367" t="s">
        <v>10</v>
      </c>
      <c r="I367" t="s">
        <v>19</v>
      </c>
    </row>
    <row r="368" spans="1:9" x14ac:dyDescent="0.3">
      <c r="A368">
        <v>367</v>
      </c>
      <c r="B368" t="s">
        <v>29</v>
      </c>
      <c r="C368" s="2">
        <v>45829</v>
      </c>
      <c r="D368" s="2">
        <v>45845</v>
      </c>
      <c r="E368">
        <v>7</v>
      </c>
      <c r="F368">
        <v>10</v>
      </c>
      <c r="G368" s="5">
        <v>366.1</v>
      </c>
      <c r="H368" t="s">
        <v>13</v>
      </c>
      <c r="I368" t="s">
        <v>26</v>
      </c>
    </row>
    <row r="369" spans="1:9" x14ac:dyDescent="0.3">
      <c r="A369">
        <v>368</v>
      </c>
      <c r="B369" t="s">
        <v>32</v>
      </c>
      <c r="C369" s="2">
        <v>45803</v>
      </c>
      <c r="D369" s="2">
        <v>45820</v>
      </c>
      <c r="E369">
        <v>18</v>
      </c>
      <c r="F369">
        <v>7</v>
      </c>
      <c r="G369" s="5">
        <v>367.1</v>
      </c>
      <c r="H369" t="s">
        <v>10</v>
      </c>
      <c r="I369" t="s">
        <v>35</v>
      </c>
    </row>
    <row r="370" spans="1:9" x14ac:dyDescent="0.3">
      <c r="A370">
        <v>369</v>
      </c>
      <c r="B370" t="s">
        <v>20</v>
      </c>
      <c r="C370" s="2">
        <v>45839</v>
      </c>
      <c r="D370" s="2">
        <v>45884</v>
      </c>
      <c r="E370">
        <v>49</v>
      </c>
      <c r="F370">
        <v>7</v>
      </c>
      <c r="G370" s="5">
        <v>368.1</v>
      </c>
      <c r="H370" t="s">
        <v>13</v>
      </c>
      <c r="I370" t="s">
        <v>26</v>
      </c>
    </row>
    <row r="371" spans="1:9" x14ac:dyDescent="0.3">
      <c r="A371">
        <v>370</v>
      </c>
      <c r="B371" t="s">
        <v>33</v>
      </c>
      <c r="C371" s="2">
        <v>45818</v>
      </c>
      <c r="D371" s="2">
        <v>45849</v>
      </c>
      <c r="E371">
        <v>18</v>
      </c>
      <c r="F371">
        <v>8</v>
      </c>
      <c r="G371" s="5">
        <v>369.1</v>
      </c>
      <c r="H371" t="s">
        <v>13</v>
      </c>
      <c r="I371" t="s">
        <v>11</v>
      </c>
    </row>
    <row r="372" spans="1:9" x14ac:dyDescent="0.3">
      <c r="A372">
        <v>371</v>
      </c>
      <c r="B372" t="s">
        <v>15</v>
      </c>
      <c r="C372" s="2">
        <v>45826</v>
      </c>
      <c r="D372" s="2">
        <v>45865</v>
      </c>
      <c r="E372">
        <v>42</v>
      </c>
      <c r="F372">
        <v>4</v>
      </c>
      <c r="G372" s="5">
        <v>370.1</v>
      </c>
      <c r="H372" t="s">
        <v>13</v>
      </c>
      <c r="I372" t="s">
        <v>21</v>
      </c>
    </row>
    <row r="373" spans="1:9" x14ac:dyDescent="0.3">
      <c r="A373">
        <v>372</v>
      </c>
      <c r="B373" t="s">
        <v>15</v>
      </c>
      <c r="C373" s="2">
        <v>45821</v>
      </c>
      <c r="D373" s="2">
        <v>45845</v>
      </c>
      <c r="E373">
        <v>13</v>
      </c>
      <c r="F373">
        <v>1</v>
      </c>
      <c r="G373" s="5">
        <v>371.1</v>
      </c>
      <c r="H373" t="s">
        <v>10</v>
      </c>
      <c r="I373" t="s">
        <v>35</v>
      </c>
    </row>
    <row r="374" spans="1:9" x14ac:dyDescent="0.3">
      <c r="A374">
        <v>373</v>
      </c>
      <c r="B374" t="s">
        <v>12</v>
      </c>
      <c r="C374" s="2">
        <v>45830</v>
      </c>
      <c r="D374" s="2">
        <v>45861</v>
      </c>
      <c r="E374">
        <v>23</v>
      </c>
      <c r="F374">
        <v>3</v>
      </c>
      <c r="G374" s="5">
        <v>372.1</v>
      </c>
      <c r="H374" t="s">
        <v>10</v>
      </c>
      <c r="I374" t="s">
        <v>19</v>
      </c>
    </row>
    <row r="375" spans="1:9" x14ac:dyDescent="0.3">
      <c r="A375">
        <v>374</v>
      </c>
      <c r="B375" t="s">
        <v>12</v>
      </c>
      <c r="C375" s="2">
        <v>45822</v>
      </c>
      <c r="D375" s="2">
        <v>45865</v>
      </c>
      <c r="E375">
        <v>5</v>
      </c>
      <c r="F375">
        <v>3</v>
      </c>
      <c r="G375" s="5">
        <v>373.1</v>
      </c>
      <c r="H375" t="s">
        <v>13</v>
      </c>
      <c r="I375" t="s">
        <v>24</v>
      </c>
    </row>
    <row r="376" spans="1:9" x14ac:dyDescent="0.3">
      <c r="A376">
        <v>375</v>
      </c>
      <c r="B376" t="s">
        <v>31</v>
      </c>
      <c r="C376" s="2">
        <v>45824</v>
      </c>
      <c r="D376" s="2">
        <v>45847</v>
      </c>
      <c r="E376">
        <v>36</v>
      </c>
      <c r="F376">
        <v>6</v>
      </c>
      <c r="G376" s="5">
        <v>374.1</v>
      </c>
      <c r="H376" t="s">
        <v>13</v>
      </c>
      <c r="I376" t="s">
        <v>19</v>
      </c>
    </row>
    <row r="377" spans="1:9" x14ac:dyDescent="0.3">
      <c r="A377">
        <v>376</v>
      </c>
      <c r="B377" t="s">
        <v>31</v>
      </c>
      <c r="C377" s="2">
        <v>45846</v>
      </c>
      <c r="D377" s="2">
        <v>45882</v>
      </c>
      <c r="E377">
        <v>53</v>
      </c>
      <c r="F377">
        <v>9</v>
      </c>
      <c r="G377" s="5">
        <v>375.1</v>
      </c>
      <c r="H377" t="s">
        <v>25</v>
      </c>
      <c r="I377" t="s">
        <v>19</v>
      </c>
    </row>
    <row r="378" spans="1:9" x14ac:dyDescent="0.3">
      <c r="A378">
        <v>377</v>
      </c>
      <c r="B378" t="s">
        <v>12</v>
      </c>
      <c r="C378" s="2">
        <v>45837</v>
      </c>
      <c r="D378" s="2">
        <v>45873</v>
      </c>
      <c r="E378">
        <v>50</v>
      </c>
      <c r="F378">
        <v>10</v>
      </c>
      <c r="G378" s="5">
        <v>376.1</v>
      </c>
      <c r="H378" t="s">
        <v>25</v>
      </c>
      <c r="I378" t="s">
        <v>19</v>
      </c>
    </row>
    <row r="379" spans="1:9" x14ac:dyDescent="0.3">
      <c r="A379">
        <v>378</v>
      </c>
      <c r="B379" t="s">
        <v>36</v>
      </c>
      <c r="C379" s="2">
        <v>45836</v>
      </c>
      <c r="D379" s="2">
        <v>45867</v>
      </c>
      <c r="E379">
        <v>34</v>
      </c>
      <c r="F379">
        <v>2</v>
      </c>
      <c r="G379" s="5">
        <v>377.1</v>
      </c>
      <c r="H379" t="s">
        <v>10</v>
      </c>
      <c r="I379" t="s">
        <v>35</v>
      </c>
    </row>
    <row r="380" spans="1:9" x14ac:dyDescent="0.3">
      <c r="A380">
        <v>379</v>
      </c>
      <c r="B380" t="s">
        <v>33</v>
      </c>
      <c r="C380" s="2">
        <v>45812</v>
      </c>
      <c r="D380" s="2">
        <v>45847</v>
      </c>
      <c r="E380">
        <v>58</v>
      </c>
      <c r="F380">
        <v>7</v>
      </c>
      <c r="G380" s="5">
        <v>378.1</v>
      </c>
      <c r="H380" t="s">
        <v>13</v>
      </c>
      <c r="I380" t="s">
        <v>21</v>
      </c>
    </row>
    <row r="381" spans="1:9" x14ac:dyDescent="0.3">
      <c r="A381">
        <v>380</v>
      </c>
      <c r="B381" t="s">
        <v>28</v>
      </c>
      <c r="C381" s="2">
        <v>45823</v>
      </c>
      <c r="D381" s="2">
        <v>45861</v>
      </c>
      <c r="E381">
        <v>36</v>
      </c>
      <c r="F381">
        <v>5</v>
      </c>
      <c r="G381" s="5">
        <v>379.1</v>
      </c>
      <c r="H381" t="s">
        <v>16</v>
      </c>
      <c r="I381" t="s">
        <v>21</v>
      </c>
    </row>
    <row r="382" spans="1:9" x14ac:dyDescent="0.3">
      <c r="A382">
        <v>381</v>
      </c>
      <c r="B382" t="s">
        <v>12</v>
      </c>
      <c r="C382" s="2">
        <v>45817</v>
      </c>
      <c r="D382" s="2">
        <v>45852</v>
      </c>
      <c r="E382">
        <v>10</v>
      </c>
      <c r="F382">
        <v>3</v>
      </c>
      <c r="G382" s="5">
        <v>380.1</v>
      </c>
      <c r="H382" t="s">
        <v>16</v>
      </c>
      <c r="I382" t="s">
        <v>35</v>
      </c>
    </row>
    <row r="383" spans="1:9" x14ac:dyDescent="0.3">
      <c r="A383">
        <v>382</v>
      </c>
      <c r="B383" t="s">
        <v>33</v>
      </c>
      <c r="C383" s="2">
        <v>45827</v>
      </c>
      <c r="D383" s="2">
        <v>45852</v>
      </c>
      <c r="E383">
        <v>41</v>
      </c>
      <c r="F383">
        <v>2</v>
      </c>
      <c r="G383" s="5">
        <v>381.1</v>
      </c>
      <c r="H383" t="s">
        <v>10</v>
      </c>
      <c r="I383" t="s">
        <v>19</v>
      </c>
    </row>
    <row r="384" spans="1:9" x14ac:dyDescent="0.3">
      <c r="A384">
        <v>383</v>
      </c>
      <c r="B384" t="s">
        <v>33</v>
      </c>
      <c r="C384" s="2">
        <v>45806</v>
      </c>
      <c r="D384" s="2">
        <v>45850</v>
      </c>
      <c r="E384">
        <v>21</v>
      </c>
      <c r="F384">
        <v>4</v>
      </c>
      <c r="G384" s="5">
        <v>382.1</v>
      </c>
      <c r="H384" t="s">
        <v>16</v>
      </c>
      <c r="I384" t="s">
        <v>24</v>
      </c>
    </row>
    <row r="385" spans="1:9" x14ac:dyDescent="0.3">
      <c r="A385">
        <v>384</v>
      </c>
      <c r="B385" t="s">
        <v>9</v>
      </c>
      <c r="C385" s="2">
        <v>45805</v>
      </c>
      <c r="D385" s="2">
        <v>45828</v>
      </c>
      <c r="E385">
        <v>29</v>
      </c>
      <c r="F385">
        <v>1</v>
      </c>
      <c r="G385" s="5">
        <v>383.1</v>
      </c>
      <c r="H385" t="s">
        <v>13</v>
      </c>
      <c r="I385" t="s">
        <v>26</v>
      </c>
    </row>
    <row r="386" spans="1:9" x14ac:dyDescent="0.3">
      <c r="A386">
        <v>385</v>
      </c>
      <c r="B386" t="s">
        <v>23</v>
      </c>
      <c r="C386" s="2">
        <v>45815</v>
      </c>
      <c r="D386" s="2">
        <v>45838</v>
      </c>
      <c r="E386">
        <v>17</v>
      </c>
      <c r="F386">
        <v>6</v>
      </c>
      <c r="G386" s="5">
        <v>384.1</v>
      </c>
      <c r="H386" t="s">
        <v>16</v>
      </c>
      <c r="I386" t="s">
        <v>11</v>
      </c>
    </row>
    <row r="387" spans="1:9" x14ac:dyDescent="0.3">
      <c r="A387">
        <v>386</v>
      </c>
      <c r="B387" t="s">
        <v>9</v>
      </c>
      <c r="C387" s="2">
        <v>45810</v>
      </c>
      <c r="D387" s="2">
        <v>45843</v>
      </c>
      <c r="E387">
        <v>39</v>
      </c>
      <c r="F387">
        <v>6</v>
      </c>
      <c r="G387" s="5">
        <v>385.1</v>
      </c>
      <c r="H387" t="s">
        <v>25</v>
      </c>
      <c r="I387" t="s">
        <v>24</v>
      </c>
    </row>
    <row r="388" spans="1:9" x14ac:dyDescent="0.3">
      <c r="A388">
        <v>387</v>
      </c>
      <c r="B388" t="s">
        <v>29</v>
      </c>
      <c r="C388" s="2">
        <v>45827</v>
      </c>
      <c r="D388" s="2">
        <v>45867</v>
      </c>
      <c r="E388">
        <v>59</v>
      </c>
      <c r="F388">
        <v>8</v>
      </c>
      <c r="G388" s="5">
        <v>386.1</v>
      </c>
      <c r="H388" t="s">
        <v>10</v>
      </c>
      <c r="I388" t="s">
        <v>14</v>
      </c>
    </row>
    <row r="389" spans="1:9" x14ac:dyDescent="0.3">
      <c r="A389">
        <v>388</v>
      </c>
      <c r="B389" t="s">
        <v>33</v>
      </c>
      <c r="C389" s="2">
        <v>45821</v>
      </c>
      <c r="D389" s="2">
        <v>45857</v>
      </c>
      <c r="E389">
        <v>30</v>
      </c>
      <c r="F389">
        <v>5</v>
      </c>
      <c r="G389" s="5">
        <v>387.1</v>
      </c>
      <c r="H389" t="s">
        <v>25</v>
      </c>
      <c r="I389" t="s">
        <v>19</v>
      </c>
    </row>
    <row r="390" spans="1:9" x14ac:dyDescent="0.3">
      <c r="A390">
        <v>389</v>
      </c>
      <c r="B390" t="s">
        <v>33</v>
      </c>
      <c r="C390" s="2">
        <v>45842</v>
      </c>
      <c r="D390" s="2">
        <v>45873</v>
      </c>
      <c r="E390">
        <v>27</v>
      </c>
      <c r="F390">
        <v>7</v>
      </c>
      <c r="G390" s="5">
        <v>388.1</v>
      </c>
      <c r="H390" t="s">
        <v>13</v>
      </c>
      <c r="I390" t="s">
        <v>24</v>
      </c>
    </row>
    <row r="391" spans="1:9" x14ac:dyDescent="0.3">
      <c r="A391">
        <v>390</v>
      </c>
      <c r="B391" t="s">
        <v>20</v>
      </c>
      <c r="C391" s="2">
        <v>45808</v>
      </c>
      <c r="D391" s="2">
        <v>45831</v>
      </c>
      <c r="E391">
        <v>32</v>
      </c>
      <c r="F391">
        <v>3</v>
      </c>
      <c r="G391" s="5">
        <v>389.1</v>
      </c>
      <c r="H391" t="s">
        <v>13</v>
      </c>
      <c r="I391" t="s">
        <v>21</v>
      </c>
    </row>
    <row r="392" spans="1:9" x14ac:dyDescent="0.3">
      <c r="A392">
        <v>391</v>
      </c>
      <c r="B392" t="s">
        <v>32</v>
      </c>
      <c r="C392" s="2">
        <v>45804</v>
      </c>
      <c r="D392" s="2">
        <v>45836</v>
      </c>
      <c r="E392">
        <v>6</v>
      </c>
      <c r="F392">
        <v>4</v>
      </c>
      <c r="G392" s="5">
        <v>390.1</v>
      </c>
      <c r="H392" t="s">
        <v>25</v>
      </c>
      <c r="I392" t="s">
        <v>11</v>
      </c>
    </row>
    <row r="393" spans="1:9" x14ac:dyDescent="0.3">
      <c r="A393">
        <v>392</v>
      </c>
      <c r="B393" t="s">
        <v>22</v>
      </c>
      <c r="C393" s="2">
        <v>45819</v>
      </c>
      <c r="D393" s="2">
        <v>45860</v>
      </c>
      <c r="E393">
        <v>54</v>
      </c>
      <c r="F393">
        <v>9</v>
      </c>
      <c r="G393" s="5">
        <v>391.1</v>
      </c>
      <c r="H393" t="s">
        <v>13</v>
      </c>
      <c r="I393" t="s">
        <v>19</v>
      </c>
    </row>
    <row r="394" spans="1:9" x14ac:dyDescent="0.3">
      <c r="A394">
        <v>393</v>
      </c>
      <c r="B394" t="s">
        <v>22</v>
      </c>
      <c r="C394" s="2">
        <v>45816</v>
      </c>
      <c r="D394" s="2">
        <v>45852</v>
      </c>
      <c r="E394">
        <v>5</v>
      </c>
      <c r="F394">
        <v>3</v>
      </c>
      <c r="G394" s="5">
        <v>392.1</v>
      </c>
      <c r="H394" t="s">
        <v>10</v>
      </c>
      <c r="I394" t="s">
        <v>11</v>
      </c>
    </row>
    <row r="395" spans="1:9" x14ac:dyDescent="0.3">
      <c r="A395">
        <v>394</v>
      </c>
      <c r="B395" t="s">
        <v>36</v>
      </c>
      <c r="C395" s="2">
        <v>45841</v>
      </c>
      <c r="D395" s="2">
        <v>45870</v>
      </c>
      <c r="E395">
        <v>7</v>
      </c>
      <c r="F395">
        <v>6</v>
      </c>
      <c r="G395" s="5">
        <v>393.1</v>
      </c>
      <c r="H395" t="s">
        <v>10</v>
      </c>
      <c r="I395" t="s">
        <v>26</v>
      </c>
    </row>
    <row r="396" spans="1:9" x14ac:dyDescent="0.3">
      <c r="A396">
        <v>395</v>
      </c>
      <c r="B396" t="s">
        <v>31</v>
      </c>
      <c r="C396" s="2">
        <v>45845</v>
      </c>
      <c r="D396" s="2">
        <v>45862</v>
      </c>
      <c r="E396">
        <v>20</v>
      </c>
      <c r="F396">
        <v>4</v>
      </c>
      <c r="G396" s="5">
        <v>394.1</v>
      </c>
      <c r="H396" t="s">
        <v>25</v>
      </c>
      <c r="I396" t="s">
        <v>21</v>
      </c>
    </row>
    <row r="397" spans="1:9" x14ac:dyDescent="0.3">
      <c r="A397">
        <v>396</v>
      </c>
      <c r="B397" t="s">
        <v>20</v>
      </c>
      <c r="C397" s="2">
        <v>45825</v>
      </c>
      <c r="D397" s="2">
        <v>45853</v>
      </c>
      <c r="E397">
        <v>20</v>
      </c>
      <c r="F397">
        <v>6</v>
      </c>
      <c r="G397" s="5">
        <v>395.1</v>
      </c>
      <c r="H397" t="s">
        <v>25</v>
      </c>
      <c r="I397" t="s">
        <v>11</v>
      </c>
    </row>
    <row r="398" spans="1:9" x14ac:dyDescent="0.3">
      <c r="A398">
        <v>397</v>
      </c>
      <c r="B398" t="s">
        <v>34</v>
      </c>
      <c r="C398" s="2">
        <v>45827</v>
      </c>
      <c r="D398" s="2">
        <v>45855</v>
      </c>
      <c r="E398">
        <v>27</v>
      </c>
      <c r="F398">
        <v>10</v>
      </c>
      <c r="G398" s="5">
        <v>396.1</v>
      </c>
      <c r="H398" t="s">
        <v>10</v>
      </c>
      <c r="I398" t="s">
        <v>14</v>
      </c>
    </row>
    <row r="399" spans="1:9" x14ac:dyDescent="0.3">
      <c r="A399">
        <v>398</v>
      </c>
      <c r="B399" t="s">
        <v>9</v>
      </c>
      <c r="C399" s="2">
        <v>45802</v>
      </c>
      <c r="D399" s="2">
        <v>45829</v>
      </c>
      <c r="E399">
        <v>8</v>
      </c>
      <c r="F399">
        <v>2</v>
      </c>
      <c r="G399" s="5">
        <v>397.1</v>
      </c>
      <c r="H399" t="s">
        <v>13</v>
      </c>
      <c r="I399" t="s">
        <v>24</v>
      </c>
    </row>
    <row r="400" spans="1:9" x14ac:dyDescent="0.3">
      <c r="A400">
        <v>399</v>
      </c>
      <c r="B400" t="s">
        <v>33</v>
      </c>
      <c r="C400" s="2">
        <v>45802</v>
      </c>
      <c r="D400" s="2">
        <v>45832</v>
      </c>
      <c r="E400">
        <v>8</v>
      </c>
      <c r="F400">
        <v>4</v>
      </c>
      <c r="G400" s="5">
        <v>398.1</v>
      </c>
      <c r="H400" t="s">
        <v>25</v>
      </c>
      <c r="I400" t="s">
        <v>19</v>
      </c>
    </row>
    <row r="401" spans="1:9" x14ac:dyDescent="0.3">
      <c r="A401">
        <v>400</v>
      </c>
      <c r="B401" t="s">
        <v>20</v>
      </c>
      <c r="C401" s="2">
        <v>45820</v>
      </c>
      <c r="D401" s="2">
        <v>45865</v>
      </c>
      <c r="E401">
        <v>33</v>
      </c>
      <c r="F401">
        <v>1</v>
      </c>
      <c r="G401" s="5">
        <v>399.1</v>
      </c>
      <c r="H401" t="s">
        <v>10</v>
      </c>
      <c r="I401" t="s">
        <v>19</v>
      </c>
    </row>
    <row r="402" spans="1:9" x14ac:dyDescent="0.3">
      <c r="A402">
        <v>401</v>
      </c>
      <c r="B402" t="s">
        <v>34</v>
      </c>
      <c r="C402" s="2">
        <v>45843</v>
      </c>
      <c r="D402" s="2">
        <v>45872</v>
      </c>
      <c r="E402">
        <v>28</v>
      </c>
      <c r="F402">
        <v>1</v>
      </c>
      <c r="G402" s="5">
        <v>400.1</v>
      </c>
      <c r="H402" t="s">
        <v>16</v>
      </c>
      <c r="I402" t="s">
        <v>11</v>
      </c>
    </row>
    <row r="403" spans="1:9" x14ac:dyDescent="0.3">
      <c r="A403">
        <v>402</v>
      </c>
      <c r="B403" t="s">
        <v>32</v>
      </c>
      <c r="C403" s="2">
        <v>45803</v>
      </c>
      <c r="D403" s="2">
        <v>45824</v>
      </c>
      <c r="E403">
        <v>40</v>
      </c>
      <c r="F403">
        <v>9</v>
      </c>
      <c r="G403" s="5">
        <v>401.1</v>
      </c>
      <c r="H403" t="s">
        <v>16</v>
      </c>
      <c r="I403" t="s">
        <v>26</v>
      </c>
    </row>
    <row r="404" spans="1:9" x14ac:dyDescent="0.3">
      <c r="A404">
        <v>403</v>
      </c>
      <c r="B404" t="s">
        <v>20</v>
      </c>
      <c r="C404" s="2">
        <v>45833</v>
      </c>
      <c r="D404" s="2">
        <v>45862</v>
      </c>
      <c r="E404">
        <v>33</v>
      </c>
      <c r="F404">
        <v>10</v>
      </c>
      <c r="G404" s="5">
        <v>402.1</v>
      </c>
      <c r="H404" t="s">
        <v>13</v>
      </c>
      <c r="I404" t="s">
        <v>26</v>
      </c>
    </row>
    <row r="405" spans="1:9" x14ac:dyDescent="0.3">
      <c r="A405">
        <v>404</v>
      </c>
      <c r="B405" t="s">
        <v>17</v>
      </c>
      <c r="C405" s="2">
        <v>45841</v>
      </c>
      <c r="D405" s="2">
        <v>45883</v>
      </c>
      <c r="E405">
        <v>25</v>
      </c>
      <c r="F405">
        <v>2</v>
      </c>
      <c r="G405" s="5">
        <v>403.1</v>
      </c>
      <c r="H405" t="s">
        <v>16</v>
      </c>
      <c r="I405" t="s">
        <v>11</v>
      </c>
    </row>
    <row r="406" spans="1:9" x14ac:dyDescent="0.3">
      <c r="A406">
        <v>405</v>
      </c>
      <c r="B406" t="s">
        <v>32</v>
      </c>
      <c r="C406" s="2">
        <v>45805</v>
      </c>
      <c r="D406" s="2">
        <v>45833</v>
      </c>
      <c r="E406">
        <v>60</v>
      </c>
      <c r="F406">
        <v>7</v>
      </c>
      <c r="G406" s="5">
        <v>404.1</v>
      </c>
      <c r="H406" t="s">
        <v>10</v>
      </c>
      <c r="I406" t="s">
        <v>21</v>
      </c>
    </row>
    <row r="407" spans="1:9" x14ac:dyDescent="0.3">
      <c r="A407">
        <v>406</v>
      </c>
      <c r="B407" t="s">
        <v>15</v>
      </c>
      <c r="C407" s="2">
        <v>45814</v>
      </c>
      <c r="D407" s="2">
        <v>45837</v>
      </c>
      <c r="E407">
        <v>18</v>
      </c>
      <c r="F407">
        <v>8</v>
      </c>
      <c r="G407" s="5">
        <v>405.1</v>
      </c>
      <c r="H407" t="s">
        <v>16</v>
      </c>
      <c r="I407" t="s">
        <v>11</v>
      </c>
    </row>
    <row r="408" spans="1:9" x14ac:dyDescent="0.3">
      <c r="A408">
        <v>407</v>
      </c>
      <c r="B408" t="s">
        <v>15</v>
      </c>
      <c r="C408" s="2">
        <v>45833</v>
      </c>
      <c r="D408" s="2">
        <v>45871</v>
      </c>
      <c r="E408">
        <v>20</v>
      </c>
      <c r="F408">
        <v>10</v>
      </c>
      <c r="G408" s="5">
        <v>406.1</v>
      </c>
      <c r="H408" t="s">
        <v>13</v>
      </c>
      <c r="I408" t="s">
        <v>14</v>
      </c>
    </row>
    <row r="409" spans="1:9" x14ac:dyDescent="0.3">
      <c r="A409">
        <v>408</v>
      </c>
      <c r="B409" t="s">
        <v>32</v>
      </c>
      <c r="C409" s="2">
        <v>45825</v>
      </c>
      <c r="D409" s="2">
        <v>45870</v>
      </c>
      <c r="E409">
        <v>26</v>
      </c>
      <c r="F409">
        <v>3</v>
      </c>
      <c r="G409" s="5">
        <v>407.1</v>
      </c>
      <c r="H409" t="s">
        <v>16</v>
      </c>
      <c r="I409" t="s">
        <v>11</v>
      </c>
    </row>
    <row r="410" spans="1:9" x14ac:dyDescent="0.3">
      <c r="A410">
        <v>409</v>
      </c>
      <c r="B410" t="s">
        <v>30</v>
      </c>
      <c r="C410" s="2">
        <v>45814</v>
      </c>
      <c r="D410" s="2">
        <v>45852</v>
      </c>
      <c r="E410">
        <v>40</v>
      </c>
      <c r="F410">
        <v>8</v>
      </c>
      <c r="G410" s="5">
        <v>408.1</v>
      </c>
      <c r="H410" t="s">
        <v>16</v>
      </c>
      <c r="I410" t="s">
        <v>35</v>
      </c>
    </row>
    <row r="411" spans="1:9" x14ac:dyDescent="0.3">
      <c r="A411">
        <v>410</v>
      </c>
      <c r="B411" t="s">
        <v>32</v>
      </c>
      <c r="C411" s="2">
        <v>45827</v>
      </c>
      <c r="D411" s="2">
        <v>45857</v>
      </c>
      <c r="E411">
        <v>6</v>
      </c>
      <c r="F411">
        <v>7</v>
      </c>
      <c r="G411" s="5">
        <v>409.1</v>
      </c>
      <c r="H411" t="s">
        <v>10</v>
      </c>
      <c r="I411" t="s">
        <v>19</v>
      </c>
    </row>
    <row r="412" spans="1:9" x14ac:dyDescent="0.3">
      <c r="A412">
        <v>411</v>
      </c>
      <c r="B412" t="s">
        <v>22</v>
      </c>
      <c r="C412" s="2">
        <v>45844</v>
      </c>
      <c r="D412" s="2">
        <v>45862</v>
      </c>
      <c r="E412">
        <v>52</v>
      </c>
      <c r="F412">
        <v>4</v>
      </c>
      <c r="G412" s="5">
        <v>410.1</v>
      </c>
      <c r="H412" t="s">
        <v>10</v>
      </c>
      <c r="I412" t="s">
        <v>11</v>
      </c>
    </row>
    <row r="413" spans="1:9" x14ac:dyDescent="0.3">
      <c r="A413">
        <v>412</v>
      </c>
      <c r="B413" t="s">
        <v>20</v>
      </c>
      <c r="C413" s="2">
        <v>45833</v>
      </c>
      <c r="D413" s="2">
        <v>45877</v>
      </c>
      <c r="E413">
        <v>36</v>
      </c>
      <c r="F413">
        <v>1</v>
      </c>
      <c r="G413" s="5">
        <v>411.1</v>
      </c>
      <c r="H413" t="s">
        <v>16</v>
      </c>
      <c r="I413" t="s">
        <v>35</v>
      </c>
    </row>
    <row r="414" spans="1:9" x14ac:dyDescent="0.3">
      <c r="A414">
        <v>413</v>
      </c>
      <c r="B414" t="s">
        <v>29</v>
      </c>
      <c r="C414" s="2">
        <v>45802</v>
      </c>
      <c r="D414" s="2">
        <v>45830</v>
      </c>
      <c r="E414">
        <v>30</v>
      </c>
      <c r="F414">
        <v>1</v>
      </c>
      <c r="G414" s="5">
        <v>412.1</v>
      </c>
      <c r="H414" t="s">
        <v>10</v>
      </c>
      <c r="I414" t="s">
        <v>35</v>
      </c>
    </row>
    <row r="415" spans="1:9" x14ac:dyDescent="0.3">
      <c r="A415">
        <v>414</v>
      </c>
      <c r="B415" t="s">
        <v>36</v>
      </c>
      <c r="C415" s="2">
        <v>45836</v>
      </c>
      <c r="D415" s="2">
        <v>45860</v>
      </c>
      <c r="E415">
        <v>45</v>
      </c>
      <c r="F415">
        <v>3</v>
      </c>
      <c r="G415" s="5">
        <v>413.1</v>
      </c>
      <c r="H415" t="s">
        <v>13</v>
      </c>
      <c r="I415" t="s">
        <v>11</v>
      </c>
    </row>
    <row r="416" spans="1:9" x14ac:dyDescent="0.3">
      <c r="A416">
        <v>415</v>
      </c>
      <c r="B416" t="s">
        <v>32</v>
      </c>
      <c r="C416" s="2">
        <v>45819</v>
      </c>
      <c r="D416" s="2">
        <v>45844</v>
      </c>
      <c r="E416">
        <v>13</v>
      </c>
      <c r="F416">
        <v>2</v>
      </c>
      <c r="G416" s="5">
        <v>414.1</v>
      </c>
      <c r="H416" t="s">
        <v>16</v>
      </c>
      <c r="I416" t="s">
        <v>26</v>
      </c>
    </row>
    <row r="417" spans="1:9" x14ac:dyDescent="0.3">
      <c r="A417">
        <v>416</v>
      </c>
      <c r="B417" t="s">
        <v>15</v>
      </c>
      <c r="C417" s="2">
        <v>45809</v>
      </c>
      <c r="D417" s="2">
        <v>45828</v>
      </c>
      <c r="E417">
        <v>43</v>
      </c>
      <c r="F417">
        <v>4</v>
      </c>
      <c r="G417" s="5">
        <v>415.1</v>
      </c>
      <c r="H417" t="s">
        <v>16</v>
      </c>
      <c r="I417" t="s">
        <v>21</v>
      </c>
    </row>
    <row r="418" spans="1:9" x14ac:dyDescent="0.3">
      <c r="A418">
        <v>417</v>
      </c>
      <c r="B418" t="s">
        <v>27</v>
      </c>
      <c r="C418" s="2">
        <v>45804</v>
      </c>
      <c r="D418" s="2">
        <v>45837</v>
      </c>
      <c r="E418">
        <v>26</v>
      </c>
      <c r="F418">
        <v>8</v>
      </c>
      <c r="G418" s="5">
        <v>416.1</v>
      </c>
      <c r="H418" t="s">
        <v>25</v>
      </c>
      <c r="I418" t="s">
        <v>19</v>
      </c>
    </row>
    <row r="419" spans="1:9" x14ac:dyDescent="0.3">
      <c r="A419">
        <v>418</v>
      </c>
      <c r="B419" t="s">
        <v>29</v>
      </c>
      <c r="C419" s="2">
        <v>45823</v>
      </c>
      <c r="D419" s="2">
        <v>45843</v>
      </c>
      <c r="E419">
        <v>50</v>
      </c>
      <c r="F419">
        <v>10</v>
      </c>
      <c r="G419" s="5">
        <v>417.1</v>
      </c>
      <c r="H419" t="s">
        <v>10</v>
      </c>
      <c r="I419" t="s">
        <v>35</v>
      </c>
    </row>
    <row r="420" spans="1:9" x14ac:dyDescent="0.3">
      <c r="A420">
        <v>419</v>
      </c>
      <c r="B420" t="s">
        <v>30</v>
      </c>
      <c r="C420" s="2">
        <v>45825</v>
      </c>
      <c r="D420" s="2">
        <v>45862</v>
      </c>
      <c r="E420">
        <v>24</v>
      </c>
      <c r="F420">
        <v>4</v>
      </c>
      <c r="G420" s="5">
        <v>418.1</v>
      </c>
      <c r="H420" t="s">
        <v>16</v>
      </c>
      <c r="I420" t="s">
        <v>11</v>
      </c>
    </row>
    <row r="421" spans="1:9" x14ac:dyDescent="0.3">
      <c r="A421">
        <v>420</v>
      </c>
      <c r="B421" t="s">
        <v>17</v>
      </c>
      <c r="C421" s="2">
        <v>45840</v>
      </c>
      <c r="D421" s="2">
        <v>45880</v>
      </c>
      <c r="E421">
        <v>37</v>
      </c>
      <c r="F421">
        <v>8</v>
      </c>
      <c r="G421" s="5">
        <v>419.1</v>
      </c>
      <c r="H421" t="s">
        <v>13</v>
      </c>
      <c r="I421" t="s">
        <v>19</v>
      </c>
    </row>
    <row r="422" spans="1:9" x14ac:dyDescent="0.3">
      <c r="A422">
        <v>421</v>
      </c>
      <c r="B422" t="s">
        <v>12</v>
      </c>
      <c r="C422" s="2">
        <v>45838</v>
      </c>
      <c r="D422" s="2">
        <v>45864</v>
      </c>
      <c r="E422">
        <v>23</v>
      </c>
      <c r="F422">
        <v>9</v>
      </c>
      <c r="G422" s="5">
        <v>420.1</v>
      </c>
      <c r="H422" t="s">
        <v>13</v>
      </c>
      <c r="I422" t="s">
        <v>26</v>
      </c>
    </row>
    <row r="423" spans="1:9" x14ac:dyDescent="0.3">
      <c r="A423">
        <v>422</v>
      </c>
      <c r="B423" t="s">
        <v>20</v>
      </c>
      <c r="C423" s="2">
        <v>45837</v>
      </c>
      <c r="D423" s="2">
        <v>45862</v>
      </c>
      <c r="E423">
        <v>34</v>
      </c>
      <c r="F423">
        <v>1</v>
      </c>
      <c r="G423" s="5">
        <v>421.1</v>
      </c>
      <c r="H423" t="s">
        <v>25</v>
      </c>
      <c r="I423" t="s">
        <v>14</v>
      </c>
    </row>
    <row r="424" spans="1:9" x14ac:dyDescent="0.3">
      <c r="A424">
        <v>423</v>
      </c>
      <c r="B424" t="s">
        <v>31</v>
      </c>
      <c r="C424" s="2">
        <v>45807</v>
      </c>
      <c r="D424" s="2">
        <v>45839</v>
      </c>
      <c r="E424">
        <v>60</v>
      </c>
      <c r="F424">
        <v>1</v>
      </c>
      <c r="G424" s="5">
        <v>422.1</v>
      </c>
      <c r="H424" t="s">
        <v>13</v>
      </c>
      <c r="I424" t="s">
        <v>19</v>
      </c>
    </row>
    <row r="425" spans="1:9" x14ac:dyDescent="0.3">
      <c r="A425">
        <v>424</v>
      </c>
      <c r="B425" t="s">
        <v>36</v>
      </c>
      <c r="C425" s="2">
        <v>45846</v>
      </c>
      <c r="D425" s="2">
        <v>45872</v>
      </c>
      <c r="E425">
        <v>33</v>
      </c>
      <c r="F425">
        <v>8</v>
      </c>
      <c r="G425" s="5">
        <v>423.1</v>
      </c>
      <c r="H425" t="s">
        <v>10</v>
      </c>
      <c r="I425" t="s">
        <v>19</v>
      </c>
    </row>
    <row r="426" spans="1:9" x14ac:dyDescent="0.3">
      <c r="A426">
        <v>425</v>
      </c>
      <c r="B426" t="s">
        <v>22</v>
      </c>
      <c r="C426" s="2">
        <v>45820</v>
      </c>
      <c r="D426" s="2">
        <v>45854</v>
      </c>
      <c r="E426">
        <v>30</v>
      </c>
      <c r="F426">
        <v>5</v>
      </c>
      <c r="G426" s="5">
        <v>424.1</v>
      </c>
      <c r="H426" t="s">
        <v>16</v>
      </c>
      <c r="I426" t="s">
        <v>14</v>
      </c>
    </row>
    <row r="427" spans="1:9" x14ac:dyDescent="0.3">
      <c r="A427">
        <v>426</v>
      </c>
      <c r="B427" t="s">
        <v>28</v>
      </c>
      <c r="C427" s="2">
        <v>45805</v>
      </c>
      <c r="D427" s="2">
        <v>45822</v>
      </c>
      <c r="E427">
        <v>25</v>
      </c>
      <c r="F427">
        <v>5</v>
      </c>
      <c r="G427" s="5">
        <v>425.1</v>
      </c>
      <c r="H427" t="s">
        <v>10</v>
      </c>
      <c r="I427" t="s">
        <v>19</v>
      </c>
    </row>
    <row r="428" spans="1:9" x14ac:dyDescent="0.3">
      <c r="A428">
        <v>427</v>
      </c>
      <c r="B428" t="s">
        <v>30</v>
      </c>
      <c r="C428" s="2">
        <v>45813</v>
      </c>
      <c r="D428" s="2">
        <v>45847</v>
      </c>
      <c r="E428">
        <v>23</v>
      </c>
      <c r="F428">
        <v>5</v>
      </c>
      <c r="G428" s="5">
        <v>426.1</v>
      </c>
      <c r="H428" t="s">
        <v>10</v>
      </c>
      <c r="I428" t="s">
        <v>19</v>
      </c>
    </row>
    <row r="429" spans="1:9" x14ac:dyDescent="0.3">
      <c r="A429">
        <v>428</v>
      </c>
      <c r="B429" t="s">
        <v>15</v>
      </c>
      <c r="C429" s="2">
        <v>45832</v>
      </c>
      <c r="D429" s="2">
        <v>45856</v>
      </c>
      <c r="E429">
        <v>50</v>
      </c>
      <c r="F429">
        <v>2</v>
      </c>
      <c r="G429" s="5">
        <v>427.1</v>
      </c>
      <c r="H429" t="s">
        <v>13</v>
      </c>
      <c r="I429" t="s">
        <v>21</v>
      </c>
    </row>
    <row r="430" spans="1:9" x14ac:dyDescent="0.3">
      <c r="A430">
        <v>429</v>
      </c>
      <c r="B430" t="s">
        <v>23</v>
      </c>
      <c r="C430" s="2">
        <v>45808</v>
      </c>
      <c r="D430" s="2">
        <v>45837</v>
      </c>
      <c r="E430">
        <v>35</v>
      </c>
      <c r="F430">
        <v>1</v>
      </c>
      <c r="G430" s="5">
        <v>428.1</v>
      </c>
      <c r="H430" t="s">
        <v>25</v>
      </c>
      <c r="I430" t="s">
        <v>21</v>
      </c>
    </row>
    <row r="431" spans="1:9" x14ac:dyDescent="0.3">
      <c r="A431">
        <v>430</v>
      </c>
      <c r="B431" t="s">
        <v>22</v>
      </c>
      <c r="C431" s="2">
        <v>45845</v>
      </c>
      <c r="D431" s="2">
        <v>45875</v>
      </c>
      <c r="E431">
        <v>12</v>
      </c>
      <c r="F431">
        <v>8</v>
      </c>
      <c r="G431" s="5">
        <v>429.1</v>
      </c>
      <c r="H431" t="s">
        <v>13</v>
      </c>
      <c r="I431" t="s">
        <v>11</v>
      </c>
    </row>
    <row r="432" spans="1:9" x14ac:dyDescent="0.3">
      <c r="A432">
        <v>431</v>
      </c>
      <c r="B432" t="s">
        <v>29</v>
      </c>
      <c r="C432" s="2">
        <v>45822</v>
      </c>
      <c r="D432" s="2">
        <v>45838</v>
      </c>
      <c r="E432">
        <v>36</v>
      </c>
      <c r="F432">
        <v>7</v>
      </c>
      <c r="G432" s="5">
        <v>430.1</v>
      </c>
      <c r="H432" t="s">
        <v>13</v>
      </c>
      <c r="I432" t="s">
        <v>24</v>
      </c>
    </row>
    <row r="433" spans="1:9" x14ac:dyDescent="0.3">
      <c r="A433">
        <v>432</v>
      </c>
      <c r="B433" t="s">
        <v>17</v>
      </c>
      <c r="C433" s="2">
        <v>45802</v>
      </c>
      <c r="D433" s="2">
        <v>45842</v>
      </c>
      <c r="E433">
        <v>5</v>
      </c>
      <c r="F433">
        <v>8</v>
      </c>
      <c r="G433" s="5">
        <v>431.1</v>
      </c>
      <c r="H433" t="s">
        <v>25</v>
      </c>
      <c r="I433" t="s">
        <v>21</v>
      </c>
    </row>
    <row r="434" spans="1:9" x14ac:dyDescent="0.3">
      <c r="A434">
        <v>433</v>
      </c>
      <c r="B434" t="s">
        <v>9</v>
      </c>
      <c r="C434" s="2">
        <v>45831</v>
      </c>
      <c r="D434" s="2">
        <v>45863</v>
      </c>
      <c r="E434">
        <v>16</v>
      </c>
      <c r="F434">
        <v>1</v>
      </c>
      <c r="G434" s="5">
        <v>432.1</v>
      </c>
      <c r="H434" t="s">
        <v>16</v>
      </c>
      <c r="I434" t="s">
        <v>24</v>
      </c>
    </row>
    <row r="435" spans="1:9" x14ac:dyDescent="0.3">
      <c r="A435">
        <v>434</v>
      </c>
      <c r="B435" t="s">
        <v>32</v>
      </c>
      <c r="C435" s="2">
        <v>45810</v>
      </c>
      <c r="D435" s="2">
        <v>45845</v>
      </c>
      <c r="E435">
        <v>25</v>
      </c>
      <c r="F435">
        <v>5</v>
      </c>
      <c r="G435" s="5">
        <v>433.1</v>
      </c>
      <c r="H435" t="s">
        <v>25</v>
      </c>
      <c r="I435" t="s">
        <v>26</v>
      </c>
    </row>
    <row r="436" spans="1:9" x14ac:dyDescent="0.3">
      <c r="A436">
        <v>435</v>
      </c>
      <c r="B436" t="s">
        <v>32</v>
      </c>
      <c r="C436" s="2">
        <v>45806</v>
      </c>
      <c r="D436" s="2">
        <v>45843</v>
      </c>
      <c r="E436">
        <v>15</v>
      </c>
      <c r="F436">
        <v>4</v>
      </c>
      <c r="G436" s="5">
        <v>434.1</v>
      </c>
      <c r="H436" t="s">
        <v>10</v>
      </c>
      <c r="I436" t="s">
        <v>24</v>
      </c>
    </row>
    <row r="437" spans="1:9" x14ac:dyDescent="0.3">
      <c r="A437">
        <v>436</v>
      </c>
      <c r="B437" t="s">
        <v>29</v>
      </c>
      <c r="C437" s="2">
        <v>45836</v>
      </c>
      <c r="D437" s="2">
        <v>45857</v>
      </c>
      <c r="E437">
        <v>58</v>
      </c>
      <c r="F437">
        <v>6</v>
      </c>
      <c r="G437" s="5">
        <v>435.1</v>
      </c>
      <c r="H437" t="s">
        <v>10</v>
      </c>
      <c r="I437" t="s">
        <v>35</v>
      </c>
    </row>
    <row r="438" spans="1:9" x14ac:dyDescent="0.3">
      <c r="A438">
        <v>437</v>
      </c>
      <c r="B438" t="s">
        <v>22</v>
      </c>
      <c r="C438" s="2">
        <v>45811</v>
      </c>
      <c r="D438" s="2">
        <v>45837</v>
      </c>
      <c r="E438">
        <v>53</v>
      </c>
      <c r="F438">
        <v>9</v>
      </c>
      <c r="G438" s="5">
        <v>436.1</v>
      </c>
      <c r="H438" t="s">
        <v>16</v>
      </c>
      <c r="I438" t="s">
        <v>19</v>
      </c>
    </row>
    <row r="439" spans="1:9" x14ac:dyDescent="0.3">
      <c r="A439">
        <v>438</v>
      </c>
      <c r="B439" t="s">
        <v>12</v>
      </c>
      <c r="C439" s="2">
        <v>45825</v>
      </c>
      <c r="D439" s="2">
        <v>45844</v>
      </c>
      <c r="E439">
        <v>59</v>
      </c>
      <c r="F439">
        <v>1</v>
      </c>
      <c r="G439" s="5">
        <v>437.1</v>
      </c>
      <c r="H439" t="s">
        <v>25</v>
      </c>
      <c r="I439" t="s">
        <v>35</v>
      </c>
    </row>
    <row r="440" spans="1:9" x14ac:dyDescent="0.3">
      <c r="A440">
        <v>439</v>
      </c>
      <c r="B440" t="s">
        <v>29</v>
      </c>
      <c r="C440" s="2">
        <v>45828</v>
      </c>
      <c r="D440" s="2">
        <v>45857</v>
      </c>
      <c r="E440">
        <v>16</v>
      </c>
      <c r="F440">
        <v>9</v>
      </c>
      <c r="G440" s="5">
        <v>438.1</v>
      </c>
      <c r="H440" t="s">
        <v>16</v>
      </c>
      <c r="I440" t="s">
        <v>35</v>
      </c>
    </row>
    <row r="441" spans="1:9" x14ac:dyDescent="0.3">
      <c r="A441">
        <v>440</v>
      </c>
      <c r="B441" t="s">
        <v>17</v>
      </c>
      <c r="C441" s="2">
        <v>45822</v>
      </c>
      <c r="D441" s="2">
        <v>45847</v>
      </c>
      <c r="E441">
        <v>42</v>
      </c>
      <c r="F441">
        <v>2</v>
      </c>
      <c r="G441" s="5">
        <v>439.1</v>
      </c>
      <c r="H441" t="s">
        <v>13</v>
      </c>
      <c r="I441" t="s">
        <v>26</v>
      </c>
    </row>
    <row r="442" spans="1:9" x14ac:dyDescent="0.3">
      <c r="A442">
        <v>441</v>
      </c>
      <c r="B442" t="s">
        <v>30</v>
      </c>
      <c r="C442" s="2">
        <v>45819</v>
      </c>
      <c r="D442" s="2">
        <v>45857</v>
      </c>
      <c r="E442">
        <v>26</v>
      </c>
      <c r="F442">
        <v>7</v>
      </c>
      <c r="G442" s="5">
        <v>440.1</v>
      </c>
      <c r="H442" t="s">
        <v>16</v>
      </c>
      <c r="I442" t="s">
        <v>19</v>
      </c>
    </row>
    <row r="443" spans="1:9" x14ac:dyDescent="0.3">
      <c r="A443">
        <v>442</v>
      </c>
      <c r="B443" t="s">
        <v>23</v>
      </c>
      <c r="C443" s="2">
        <v>45829</v>
      </c>
      <c r="D443" s="2">
        <v>45862</v>
      </c>
      <c r="E443">
        <v>13</v>
      </c>
      <c r="F443">
        <v>6</v>
      </c>
      <c r="G443" s="5">
        <v>441.1</v>
      </c>
      <c r="H443" t="s">
        <v>10</v>
      </c>
      <c r="I443" t="s">
        <v>11</v>
      </c>
    </row>
    <row r="444" spans="1:9" x14ac:dyDescent="0.3">
      <c r="A444">
        <v>443</v>
      </c>
      <c r="B444" t="s">
        <v>30</v>
      </c>
      <c r="C444" s="2">
        <v>45831</v>
      </c>
      <c r="D444" s="2">
        <v>45862</v>
      </c>
      <c r="E444">
        <v>50</v>
      </c>
      <c r="F444">
        <v>10</v>
      </c>
      <c r="G444" s="5">
        <v>442.1</v>
      </c>
      <c r="H444" t="s">
        <v>13</v>
      </c>
      <c r="I444" t="s">
        <v>14</v>
      </c>
    </row>
    <row r="445" spans="1:9" x14ac:dyDescent="0.3">
      <c r="A445">
        <v>444</v>
      </c>
      <c r="B445" t="s">
        <v>15</v>
      </c>
      <c r="C445" s="2">
        <v>45804</v>
      </c>
      <c r="D445" s="2">
        <v>45834</v>
      </c>
      <c r="E445">
        <v>5</v>
      </c>
      <c r="F445">
        <v>9</v>
      </c>
      <c r="G445" s="5">
        <v>443.1</v>
      </c>
      <c r="H445" t="s">
        <v>10</v>
      </c>
      <c r="I445" t="s">
        <v>11</v>
      </c>
    </row>
    <row r="446" spans="1:9" x14ac:dyDescent="0.3">
      <c r="A446">
        <v>445</v>
      </c>
      <c r="B446" t="s">
        <v>18</v>
      </c>
      <c r="C446" s="2">
        <v>45846</v>
      </c>
      <c r="D446" s="2">
        <v>45880</v>
      </c>
      <c r="E446">
        <v>38</v>
      </c>
      <c r="F446">
        <v>3</v>
      </c>
      <c r="G446" s="5">
        <v>444.1</v>
      </c>
      <c r="H446" t="s">
        <v>10</v>
      </c>
      <c r="I446" t="s">
        <v>11</v>
      </c>
    </row>
    <row r="447" spans="1:9" x14ac:dyDescent="0.3">
      <c r="A447">
        <v>446</v>
      </c>
      <c r="B447" t="s">
        <v>12</v>
      </c>
      <c r="C447" s="2">
        <v>45806</v>
      </c>
      <c r="D447" s="2">
        <v>45826</v>
      </c>
      <c r="E447">
        <v>11</v>
      </c>
      <c r="F447">
        <v>1</v>
      </c>
      <c r="G447" s="5">
        <v>445.1</v>
      </c>
      <c r="H447" t="s">
        <v>16</v>
      </c>
      <c r="I447" t="s">
        <v>14</v>
      </c>
    </row>
    <row r="448" spans="1:9" x14ac:dyDescent="0.3">
      <c r="A448">
        <v>447</v>
      </c>
      <c r="B448" t="s">
        <v>31</v>
      </c>
      <c r="C448" s="2">
        <v>45805</v>
      </c>
      <c r="D448" s="2">
        <v>45850</v>
      </c>
      <c r="E448">
        <v>14</v>
      </c>
      <c r="F448">
        <v>10</v>
      </c>
      <c r="G448" s="5">
        <v>446.1</v>
      </c>
      <c r="H448" t="s">
        <v>16</v>
      </c>
      <c r="I448" t="s">
        <v>24</v>
      </c>
    </row>
    <row r="449" spans="1:9" x14ac:dyDescent="0.3">
      <c r="A449">
        <v>448</v>
      </c>
      <c r="B449" t="s">
        <v>33</v>
      </c>
      <c r="C449" s="2">
        <v>45818</v>
      </c>
      <c r="D449" s="2">
        <v>45838</v>
      </c>
      <c r="E449">
        <v>5</v>
      </c>
      <c r="F449">
        <v>5</v>
      </c>
      <c r="G449" s="5">
        <v>447.1</v>
      </c>
      <c r="H449" t="s">
        <v>10</v>
      </c>
      <c r="I449" t="s">
        <v>24</v>
      </c>
    </row>
    <row r="450" spans="1:9" x14ac:dyDescent="0.3">
      <c r="A450">
        <v>449</v>
      </c>
      <c r="B450" t="s">
        <v>29</v>
      </c>
      <c r="C450" s="2">
        <v>45840</v>
      </c>
      <c r="D450" s="2">
        <v>45885</v>
      </c>
      <c r="E450">
        <v>38</v>
      </c>
      <c r="F450">
        <v>7</v>
      </c>
      <c r="G450" s="5">
        <v>448.1</v>
      </c>
      <c r="H450" t="s">
        <v>10</v>
      </c>
      <c r="I450" t="s">
        <v>11</v>
      </c>
    </row>
    <row r="451" spans="1:9" x14ac:dyDescent="0.3">
      <c r="A451">
        <v>450</v>
      </c>
      <c r="B451" t="s">
        <v>32</v>
      </c>
      <c r="C451" s="2">
        <v>45815</v>
      </c>
      <c r="D451" s="2">
        <v>45844</v>
      </c>
      <c r="E451">
        <v>46</v>
      </c>
      <c r="F451">
        <v>5</v>
      </c>
      <c r="G451" s="5">
        <v>449.1</v>
      </c>
      <c r="H451" t="s">
        <v>25</v>
      </c>
      <c r="I451" t="s">
        <v>11</v>
      </c>
    </row>
    <row r="452" spans="1:9" x14ac:dyDescent="0.3">
      <c r="A452">
        <v>451</v>
      </c>
      <c r="B452" t="s">
        <v>29</v>
      </c>
      <c r="C452" s="2">
        <v>45844</v>
      </c>
      <c r="D452" s="2">
        <v>45882</v>
      </c>
      <c r="E452">
        <v>22</v>
      </c>
      <c r="F452">
        <v>6</v>
      </c>
      <c r="G452" s="5">
        <v>450.1</v>
      </c>
      <c r="H452" t="s">
        <v>25</v>
      </c>
      <c r="I452" t="s">
        <v>21</v>
      </c>
    </row>
    <row r="453" spans="1:9" x14ac:dyDescent="0.3">
      <c r="A453">
        <v>452</v>
      </c>
      <c r="B453" t="s">
        <v>32</v>
      </c>
      <c r="C453" s="2">
        <v>45822</v>
      </c>
      <c r="D453" s="2">
        <v>45862</v>
      </c>
      <c r="E453">
        <v>8</v>
      </c>
      <c r="F453">
        <v>10</v>
      </c>
      <c r="G453" s="5">
        <v>451.1</v>
      </c>
      <c r="H453" t="s">
        <v>16</v>
      </c>
      <c r="I453" t="s">
        <v>21</v>
      </c>
    </row>
    <row r="454" spans="1:9" x14ac:dyDescent="0.3">
      <c r="A454">
        <v>453</v>
      </c>
      <c r="B454" t="s">
        <v>18</v>
      </c>
      <c r="C454" s="2">
        <v>45808</v>
      </c>
      <c r="D454" s="2">
        <v>45825</v>
      </c>
      <c r="E454">
        <v>41</v>
      </c>
      <c r="F454">
        <v>1</v>
      </c>
      <c r="G454" s="5">
        <v>452.1</v>
      </c>
      <c r="H454" t="s">
        <v>16</v>
      </c>
      <c r="I454" t="s">
        <v>35</v>
      </c>
    </row>
    <row r="455" spans="1:9" x14ac:dyDescent="0.3">
      <c r="A455">
        <v>454</v>
      </c>
      <c r="B455" t="s">
        <v>30</v>
      </c>
      <c r="C455" s="2">
        <v>45837</v>
      </c>
      <c r="D455" s="2">
        <v>45870</v>
      </c>
      <c r="E455">
        <v>28</v>
      </c>
      <c r="F455">
        <v>4</v>
      </c>
      <c r="G455" s="5">
        <v>453.1</v>
      </c>
      <c r="H455" t="s">
        <v>13</v>
      </c>
      <c r="I455" t="s">
        <v>26</v>
      </c>
    </row>
    <row r="456" spans="1:9" x14ac:dyDescent="0.3">
      <c r="A456">
        <v>455</v>
      </c>
      <c r="B456" t="s">
        <v>33</v>
      </c>
      <c r="C456" s="2">
        <v>45804</v>
      </c>
      <c r="D456" s="2">
        <v>45822</v>
      </c>
      <c r="E456">
        <v>10</v>
      </c>
      <c r="F456">
        <v>8</v>
      </c>
      <c r="G456" s="5">
        <v>454.1</v>
      </c>
      <c r="H456" t="s">
        <v>13</v>
      </c>
      <c r="I456" t="s">
        <v>14</v>
      </c>
    </row>
    <row r="457" spans="1:9" x14ac:dyDescent="0.3">
      <c r="A457">
        <v>456</v>
      </c>
      <c r="B457" t="s">
        <v>29</v>
      </c>
      <c r="C457" s="2">
        <v>45808</v>
      </c>
      <c r="D457" s="2">
        <v>45835</v>
      </c>
      <c r="E457">
        <v>29</v>
      </c>
      <c r="F457">
        <v>9</v>
      </c>
      <c r="G457" s="5">
        <v>455.1</v>
      </c>
      <c r="H457" t="s">
        <v>16</v>
      </c>
      <c r="I457" t="s">
        <v>11</v>
      </c>
    </row>
    <row r="458" spans="1:9" x14ac:dyDescent="0.3">
      <c r="A458">
        <v>457</v>
      </c>
      <c r="B458" t="s">
        <v>28</v>
      </c>
      <c r="C458" s="2">
        <v>45816</v>
      </c>
      <c r="D458" s="2">
        <v>45840</v>
      </c>
      <c r="E458">
        <v>15</v>
      </c>
      <c r="F458">
        <v>2</v>
      </c>
      <c r="G458" s="5">
        <v>456.1</v>
      </c>
      <c r="H458" t="s">
        <v>13</v>
      </c>
      <c r="I458" t="s">
        <v>11</v>
      </c>
    </row>
    <row r="459" spans="1:9" x14ac:dyDescent="0.3">
      <c r="A459">
        <v>458</v>
      </c>
      <c r="B459" t="s">
        <v>12</v>
      </c>
      <c r="C459" s="2">
        <v>45836</v>
      </c>
      <c r="D459" s="2">
        <v>45862</v>
      </c>
      <c r="E459">
        <v>6</v>
      </c>
      <c r="F459">
        <v>4</v>
      </c>
      <c r="G459" s="5">
        <v>457.1</v>
      </c>
      <c r="H459" t="s">
        <v>13</v>
      </c>
      <c r="I459" t="s">
        <v>21</v>
      </c>
    </row>
    <row r="460" spans="1:9" x14ac:dyDescent="0.3">
      <c r="A460">
        <v>459</v>
      </c>
      <c r="B460" t="s">
        <v>23</v>
      </c>
      <c r="C460" s="2">
        <v>45830</v>
      </c>
      <c r="D460" s="2">
        <v>45871</v>
      </c>
      <c r="E460">
        <v>10</v>
      </c>
      <c r="F460">
        <v>5</v>
      </c>
      <c r="G460" s="5">
        <v>458.1</v>
      </c>
      <c r="H460" t="s">
        <v>10</v>
      </c>
      <c r="I460" t="s">
        <v>24</v>
      </c>
    </row>
    <row r="461" spans="1:9" x14ac:dyDescent="0.3">
      <c r="A461">
        <v>460</v>
      </c>
      <c r="B461" t="s">
        <v>12</v>
      </c>
      <c r="C461" s="2">
        <v>45823</v>
      </c>
      <c r="D461" s="2">
        <v>45866</v>
      </c>
      <c r="E461">
        <v>14</v>
      </c>
      <c r="F461">
        <v>1</v>
      </c>
      <c r="G461" s="5">
        <v>459.1</v>
      </c>
      <c r="H461" t="s">
        <v>25</v>
      </c>
      <c r="I461" t="s">
        <v>11</v>
      </c>
    </row>
    <row r="462" spans="1:9" x14ac:dyDescent="0.3">
      <c r="A462">
        <v>461</v>
      </c>
      <c r="B462" t="s">
        <v>20</v>
      </c>
      <c r="C462" s="2">
        <v>45831</v>
      </c>
      <c r="D462" s="2">
        <v>45850</v>
      </c>
      <c r="E462">
        <v>46</v>
      </c>
      <c r="F462">
        <v>2</v>
      </c>
      <c r="G462" s="5">
        <v>460.1</v>
      </c>
      <c r="H462" t="s">
        <v>25</v>
      </c>
      <c r="I462" t="s">
        <v>14</v>
      </c>
    </row>
    <row r="463" spans="1:9" x14ac:dyDescent="0.3">
      <c r="A463">
        <v>462</v>
      </c>
      <c r="B463" t="s">
        <v>29</v>
      </c>
      <c r="C463" s="2">
        <v>45815</v>
      </c>
      <c r="D463" s="2">
        <v>45831</v>
      </c>
      <c r="E463">
        <v>53</v>
      </c>
      <c r="F463">
        <v>5</v>
      </c>
      <c r="G463" s="5">
        <v>461.1</v>
      </c>
      <c r="H463" t="s">
        <v>16</v>
      </c>
      <c r="I463" t="s">
        <v>11</v>
      </c>
    </row>
    <row r="464" spans="1:9" x14ac:dyDescent="0.3">
      <c r="A464">
        <v>463</v>
      </c>
      <c r="B464" t="s">
        <v>17</v>
      </c>
      <c r="C464" s="2">
        <v>45819</v>
      </c>
      <c r="D464" s="2">
        <v>45834</v>
      </c>
      <c r="E464">
        <v>24</v>
      </c>
      <c r="F464">
        <v>3</v>
      </c>
      <c r="G464" s="5">
        <v>462.1</v>
      </c>
      <c r="H464" t="s">
        <v>16</v>
      </c>
      <c r="I464" t="s">
        <v>24</v>
      </c>
    </row>
    <row r="465" spans="1:9" x14ac:dyDescent="0.3">
      <c r="A465">
        <v>464</v>
      </c>
      <c r="B465" t="s">
        <v>29</v>
      </c>
      <c r="C465" s="2">
        <v>45810</v>
      </c>
      <c r="D465" s="2">
        <v>45830</v>
      </c>
      <c r="E465">
        <v>42</v>
      </c>
      <c r="F465">
        <v>8</v>
      </c>
      <c r="G465" s="5">
        <v>463.1</v>
      </c>
      <c r="H465" t="s">
        <v>25</v>
      </c>
      <c r="I465" t="s">
        <v>26</v>
      </c>
    </row>
    <row r="466" spans="1:9" x14ac:dyDescent="0.3">
      <c r="A466">
        <v>465</v>
      </c>
      <c r="B466" t="s">
        <v>32</v>
      </c>
      <c r="C466" s="2">
        <v>45828</v>
      </c>
      <c r="D466" s="2">
        <v>45863</v>
      </c>
      <c r="E466">
        <v>50</v>
      </c>
      <c r="F466">
        <v>3</v>
      </c>
      <c r="G466" s="5">
        <v>464.1</v>
      </c>
      <c r="H466" t="s">
        <v>16</v>
      </c>
      <c r="I466" t="s">
        <v>11</v>
      </c>
    </row>
    <row r="467" spans="1:9" x14ac:dyDescent="0.3">
      <c r="A467">
        <v>466</v>
      </c>
      <c r="B467" t="s">
        <v>22</v>
      </c>
      <c r="C467" s="2">
        <v>45802</v>
      </c>
      <c r="D467" s="2">
        <v>45835</v>
      </c>
      <c r="E467">
        <v>60</v>
      </c>
      <c r="F467">
        <v>6</v>
      </c>
      <c r="G467" s="5">
        <v>465.1</v>
      </c>
      <c r="H467" t="s">
        <v>16</v>
      </c>
      <c r="I467" t="s">
        <v>11</v>
      </c>
    </row>
    <row r="468" spans="1:9" x14ac:dyDescent="0.3">
      <c r="A468">
        <v>467</v>
      </c>
      <c r="B468" t="s">
        <v>37</v>
      </c>
      <c r="C468" s="2">
        <v>45835</v>
      </c>
      <c r="D468" s="2">
        <v>45852</v>
      </c>
      <c r="E468">
        <v>19</v>
      </c>
      <c r="F468">
        <v>1</v>
      </c>
      <c r="G468" s="5">
        <v>466.1</v>
      </c>
      <c r="H468" t="s">
        <v>13</v>
      </c>
      <c r="I468" t="s">
        <v>11</v>
      </c>
    </row>
    <row r="469" spans="1:9" x14ac:dyDescent="0.3">
      <c r="A469">
        <v>468</v>
      </c>
      <c r="B469" t="s">
        <v>20</v>
      </c>
      <c r="C469" s="2">
        <v>45822</v>
      </c>
      <c r="D469" s="2">
        <v>45839</v>
      </c>
      <c r="E469">
        <v>45</v>
      </c>
      <c r="F469">
        <v>3</v>
      </c>
      <c r="G469" s="5">
        <v>467.1</v>
      </c>
      <c r="H469" t="s">
        <v>25</v>
      </c>
      <c r="I469" t="s">
        <v>24</v>
      </c>
    </row>
    <row r="470" spans="1:9" x14ac:dyDescent="0.3">
      <c r="A470">
        <v>469</v>
      </c>
      <c r="B470" t="s">
        <v>32</v>
      </c>
      <c r="C470" s="2">
        <v>45805</v>
      </c>
      <c r="D470" s="2">
        <v>45821</v>
      </c>
      <c r="E470">
        <v>17</v>
      </c>
      <c r="F470">
        <v>10</v>
      </c>
      <c r="G470" s="5">
        <v>468.1</v>
      </c>
      <c r="H470" t="s">
        <v>13</v>
      </c>
      <c r="I470" t="s">
        <v>11</v>
      </c>
    </row>
    <row r="471" spans="1:9" x14ac:dyDescent="0.3">
      <c r="A471">
        <v>470</v>
      </c>
      <c r="B471" t="s">
        <v>34</v>
      </c>
      <c r="C471" s="2">
        <v>45815</v>
      </c>
      <c r="D471" s="2">
        <v>45834</v>
      </c>
      <c r="E471">
        <v>9</v>
      </c>
      <c r="F471">
        <v>5</v>
      </c>
      <c r="G471" s="5">
        <v>469.1</v>
      </c>
      <c r="H471" t="s">
        <v>16</v>
      </c>
      <c r="I471" t="s">
        <v>11</v>
      </c>
    </row>
    <row r="472" spans="1:9" x14ac:dyDescent="0.3">
      <c r="A472">
        <v>471</v>
      </c>
      <c r="B472" t="s">
        <v>20</v>
      </c>
      <c r="C472" s="2">
        <v>45807</v>
      </c>
      <c r="D472" s="2">
        <v>45822</v>
      </c>
      <c r="E472">
        <v>43</v>
      </c>
      <c r="F472">
        <v>10</v>
      </c>
      <c r="G472" s="5">
        <v>470.1</v>
      </c>
      <c r="H472" t="s">
        <v>25</v>
      </c>
      <c r="I472" t="s">
        <v>14</v>
      </c>
    </row>
    <row r="473" spans="1:9" x14ac:dyDescent="0.3">
      <c r="A473">
        <v>472</v>
      </c>
      <c r="B473" t="s">
        <v>36</v>
      </c>
      <c r="C473" s="2">
        <v>45811</v>
      </c>
      <c r="D473" s="2">
        <v>45840</v>
      </c>
      <c r="E473">
        <v>25</v>
      </c>
      <c r="F473">
        <v>6</v>
      </c>
      <c r="G473" s="5">
        <v>471.1</v>
      </c>
      <c r="H473" t="s">
        <v>16</v>
      </c>
      <c r="I473" t="s">
        <v>21</v>
      </c>
    </row>
    <row r="474" spans="1:9" x14ac:dyDescent="0.3">
      <c r="A474">
        <v>473</v>
      </c>
      <c r="B474" t="s">
        <v>33</v>
      </c>
      <c r="C474" s="2">
        <v>45806</v>
      </c>
      <c r="D474" s="2">
        <v>45827</v>
      </c>
      <c r="E474">
        <v>52</v>
      </c>
      <c r="F474">
        <v>7</v>
      </c>
      <c r="G474" s="5">
        <v>472.1</v>
      </c>
      <c r="H474" t="s">
        <v>25</v>
      </c>
      <c r="I474" t="s">
        <v>21</v>
      </c>
    </row>
    <row r="475" spans="1:9" x14ac:dyDescent="0.3">
      <c r="A475">
        <v>474</v>
      </c>
      <c r="B475" t="s">
        <v>18</v>
      </c>
      <c r="C475" s="2">
        <v>45822</v>
      </c>
      <c r="D475" s="2">
        <v>45851</v>
      </c>
      <c r="E475">
        <v>44</v>
      </c>
      <c r="F475">
        <v>10</v>
      </c>
      <c r="G475" s="5">
        <v>473.1</v>
      </c>
      <c r="H475" t="s">
        <v>13</v>
      </c>
      <c r="I475" t="s">
        <v>24</v>
      </c>
    </row>
    <row r="476" spans="1:9" x14ac:dyDescent="0.3">
      <c r="A476">
        <v>475</v>
      </c>
      <c r="B476" t="s">
        <v>22</v>
      </c>
      <c r="C476" s="2">
        <v>45831</v>
      </c>
      <c r="D476" s="2">
        <v>45865</v>
      </c>
      <c r="E476">
        <v>26</v>
      </c>
      <c r="F476">
        <v>1</v>
      </c>
      <c r="G476" s="5">
        <v>474.1</v>
      </c>
      <c r="H476" t="s">
        <v>25</v>
      </c>
      <c r="I476" t="s">
        <v>24</v>
      </c>
    </row>
    <row r="477" spans="1:9" x14ac:dyDescent="0.3">
      <c r="A477">
        <v>476</v>
      </c>
      <c r="B477" t="s">
        <v>28</v>
      </c>
      <c r="C477" s="2">
        <v>45828</v>
      </c>
      <c r="D477" s="2">
        <v>45856</v>
      </c>
      <c r="E477">
        <v>36</v>
      </c>
      <c r="F477">
        <v>7</v>
      </c>
      <c r="G477" s="5">
        <v>475.1</v>
      </c>
      <c r="H477" t="s">
        <v>10</v>
      </c>
      <c r="I477" t="s">
        <v>26</v>
      </c>
    </row>
    <row r="478" spans="1:9" x14ac:dyDescent="0.3">
      <c r="A478">
        <v>477</v>
      </c>
      <c r="B478" t="s">
        <v>22</v>
      </c>
      <c r="C478" s="2">
        <v>45810</v>
      </c>
      <c r="D478" s="2">
        <v>45852</v>
      </c>
      <c r="E478">
        <v>41</v>
      </c>
      <c r="F478">
        <v>8</v>
      </c>
      <c r="G478" s="5">
        <v>476.1</v>
      </c>
      <c r="H478" t="s">
        <v>25</v>
      </c>
      <c r="I478" t="s">
        <v>24</v>
      </c>
    </row>
    <row r="479" spans="1:9" x14ac:dyDescent="0.3">
      <c r="A479">
        <v>478</v>
      </c>
      <c r="B479" t="s">
        <v>33</v>
      </c>
      <c r="C479" s="2">
        <v>45820</v>
      </c>
      <c r="D479" s="2">
        <v>45842</v>
      </c>
      <c r="E479">
        <v>8</v>
      </c>
      <c r="F479">
        <v>6</v>
      </c>
      <c r="G479" s="5">
        <v>477.1</v>
      </c>
      <c r="H479" t="s">
        <v>16</v>
      </c>
      <c r="I479" t="s">
        <v>26</v>
      </c>
    </row>
    <row r="480" spans="1:9" x14ac:dyDescent="0.3">
      <c r="A480">
        <v>479</v>
      </c>
      <c r="B480" t="s">
        <v>18</v>
      </c>
      <c r="C480" s="2">
        <v>45828</v>
      </c>
      <c r="D480" s="2">
        <v>45861</v>
      </c>
      <c r="E480">
        <v>32</v>
      </c>
      <c r="F480">
        <v>6</v>
      </c>
      <c r="G480" s="5">
        <v>478.1</v>
      </c>
      <c r="H480" t="s">
        <v>25</v>
      </c>
      <c r="I480" t="s">
        <v>11</v>
      </c>
    </row>
    <row r="481" spans="1:9" x14ac:dyDescent="0.3">
      <c r="A481">
        <v>480</v>
      </c>
      <c r="B481" t="s">
        <v>34</v>
      </c>
      <c r="C481" s="2">
        <v>45826</v>
      </c>
      <c r="D481" s="2">
        <v>45867</v>
      </c>
      <c r="E481">
        <v>32</v>
      </c>
      <c r="F481">
        <v>9</v>
      </c>
      <c r="G481" s="5">
        <v>479.1</v>
      </c>
      <c r="H481" t="s">
        <v>13</v>
      </c>
      <c r="I481" t="s">
        <v>24</v>
      </c>
    </row>
    <row r="482" spans="1:9" x14ac:dyDescent="0.3">
      <c r="A482">
        <v>481</v>
      </c>
      <c r="B482" t="s">
        <v>22</v>
      </c>
      <c r="C482" s="2">
        <v>45811</v>
      </c>
      <c r="D482" s="2">
        <v>45840</v>
      </c>
      <c r="E482">
        <v>38</v>
      </c>
      <c r="F482">
        <v>5</v>
      </c>
      <c r="G482" s="5">
        <v>480.1</v>
      </c>
      <c r="H482" t="s">
        <v>25</v>
      </c>
      <c r="I482" t="s">
        <v>26</v>
      </c>
    </row>
    <row r="483" spans="1:9" x14ac:dyDescent="0.3">
      <c r="A483">
        <v>482</v>
      </c>
      <c r="B483" t="s">
        <v>27</v>
      </c>
      <c r="C483" s="2">
        <v>45821</v>
      </c>
      <c r="D483" s="2">
        <v>45838</v>
      </c>
      <c r="E483">
        <v>6</v>
      </c>
      <c r="F483">
        <v>3</v>
      </c>
      <c r="G483" s="5">
        <v>481.1</v>
      </c>
      <c r="H483" t="s">
        <v>25</v>
      </c>
      <c r="I483" t="s">
        <v>14</v>
      </c>
    </row>
    <row r="484" spans="1:9" x14ac:dyDescent="0.3">
      <c r="A484">
        <v>483</v>
      </c>
      <c r="B484" t="s">
        <v>28</v>
      </c>
      <c r="C484" s="2">
        <v>45843</v>
      </c>
      <c r="D484" s="2">
        <v>45870</v>
      </c>
      <c r="E484">
        <v>43</v>
      </c>
      <c r="F484">
        <v>7</v>
      </c>
      <c r="G484" s="5">
        <v>482.1</v>
      </c>
      <c r="H484" t="s">
        <v>25</v>
      </c>
      <c r="I484" t="s">
        <v>11</v>
      </c>
    </row>
    <row r="485" spans="1:9" x14ac:dyDescent="0.3">
      <c r="A485">
        <v>484</v>
      </c>
      <c r="B485" t="s">
        <v>34</v>
      </c>
      <c r="C485" s="2">
        <v>45818</v>
      </c>
      <c r="D485" s="2">
        <v>45860</v>
      </c>
      <c r="E485">
        <v>41</v>
      </c>
      <c r="F485">
        <v>8</v>
      </c>
      <c r="G485" s="5">
        <v>483.1</v>
      </c>
      <c r="H485" t="s">
        <v>16</v>
      </c>
      <c r="I485" t="s">
        <v>24</v>
      </c>
    </row>
    <row r="486" spans="1:9" x14ac:dyDescent="0.3">
      <c r="A486">
        <v>485</v>
      </c>
      <c r="B486" t="s">
        <v>22</v>
      </c>
      <c r="C486" s="2">
        <v>45813</v>
      </c>
      <c r="D486" s="2">
        <v>45843</v>
      </c>
      <c r="E486">
        <v>32</v>
      </c>
      <c r="F486">
        <v>5</v>
      </c>
      <c r="G486" s="5">
        <v>484.1</v>
      </c>
      <c r="H486" t="s">
        <v>10</v>
      </c>
      <c r="I486" t="s">
        <v>14</v>
      </c>
    </row>
    <row r="487" spans="1:9" x14ac:dyDescent="0.3">
      <c r="A487">
        <v>486</v>
      </c>
      <c r="B487" t="s">
        <v>20</v>
      </c>
      <c r="C487" s="2">
        <v>45820</v>
      </c>
      <c r="D487" s="2">
        <v>45839</v>
      </c>
      <c r="E487">
        <v>25</v>
      </c>
      <c r="F487">
        <v>6</v>
      </c>
      <c r="G487" s="5">
        <v>485.1</v>
      </c>
      <c r="H487" t="s">
        <v>25</v>
      </c>
      <c r="I487" t="s">
        <v>19</v>
      </c>
    </row>
    <row r="488" spans="1:9" x14ac:dyDescent="0.3">
      <c r="A488">
        <v>487</v>
      </c>
      <c r="B488" t="s">
        <v>34</v>
      </c>
      <c r="C488" s="2">
        <v>45819</v>
      </c>
      <c r="D488" s="2">
        <v>45837</v>
      </c>
      <c r="E488">
        <v>30</v>
      </c>
      <c r="F488">
        <v>9</v>
      </c>
      <c r="G488" s="5">
        <v>486.1</v>
      </c>
      <c r="H488" t="s">
        <v>16</v>
      </c>
      <c r="I488" t="s">
        <v>26</v>
      </c>
    </row>
    <row r="489" spans="1:9" x14ac:dyDescent="0.3">
      <c r="A489">
        <v>488</v>
      </c>
      <c r="B489" t="s">
        <v>15</v>
      </c>
      <c r="C489" s="2">
        <v>45843</v>
      </c>
      <c r="D489" s="2">
        <v>45885</v>
      </c>
      <c r="E489">
        <v>37</v>
      </c>
      <c r="F489">
        <v>9</v>
      </c>
      <c r="G489" s="5">
        <v>487.1</v>
      </c>
      <c r="H489" t="s">
        <v>16</v>
      </c>
      <c r="I489" t="s">
        <v>35</v>
      </c>
    </row>
    <row r="490" spans="1:9" x14ac:dyDescent="0.3">
      <c r="A490">
        <v>489</v>
      </c>
      <c r="B490" t="s">
        <v>18</v>
      </c>
      <c r="C490" s="2">
        <v>45814</v>
      </c>
      <c r="D490" s="2">
        <v>45854</v>
      </c>
      <c r="E490">
        <v>27</v>
      </c>
      <c r="F490">
        <v>5</v>
      </c>
      <c r="G490" s="5">
        <v>488.1</v>
      </c>
      <c r="H490" t="s">
        <v>16</v>
      </c>
      <c r="I490" t="s">
        <v>19</v>
      </c>
    </row>
    <row r="491" spans="1:9" x14ac:dyDescent="0.3">
      <c r="A491">
        <v>490</v>
      </c>
      <c r="B491" t="s">
        <v>18</v>
      </c>
      <c r="C491" s="2">
        <v>45826</v>
      </c>
      <c r="D491" s="2">
        <v>45847</v>
      </c>
      <c r="E491">
        <v>38</v>
      </c>
      <c r="F491">
        <v>3</v>
      </c>
      <c r="G491" s="5">
        <v>489.1</v>
      </c>
      <c r="H491" t="s">
        <v>10</v>
      </c>
      <c r="I491" t="s">
        <v>19</v>
      </c>
    </row>
    <row r="492" spans="1:9" x14ac:dyDescent="0.3">
      <c r="A492">
        <v>491</v>
      </c>
      <c r="B492" t="s">
        <v>28</v>
      </c>
      <c r="C492" s="2">
        <v>45804</v>
      </c>
      <c r="D492" s="2">
        <v>45833</v>
      </c>
      <c r="E492">
        <v>12</v>
      </c>
      <c r="F492">
        <v>5</v>
      </c>
      <c r="G492" s="5">
        <v>490.1</v>
      </c>
      <c r="H492" t="s">
        <v>25</v>
      </c>
      <c r="I492" t="s">
        <v>11</v>
      </c>
    </row>
    <row r="493" spans="1:9" x14ac:dyDescent="0.3">
      <c r="A493">
        <v>492</v>
      </c>
      <c r="B493" t="s">
        <v>12</v>
      </c>
      <c r="C493" s="2">
        <v>45831</v>
      </c>
      <c r="D493" s="2">
        <v>45868</v>
      </c>
      <c r="E493">
        <v>15</v>
      </c>
      <c r="F493">
        <v>9</v>
      </c>
      <c r="G493" s="5">
        <v>491.1</v>
      </c>
      <c r="H493" t="s">
        <v>25</v>
      </c>
      <c r="I493" t="s">
        <v>19</v>
      </c>
    </row>
    <row r="494" spans="1:9" x14ac:dyDescent="0.3">
      <c r="A494">
        <v>493</v>
      </c>
      <c r="B494" t="s">
        <v>29</v>
      </c>
      <c r="C494" s="2">
        <v>45806</v>
      </c>
      <c r="D494" s="2">
        <v>45836</v>
      </c>
      <c r="E494">
        <v>42</v>
      </c>
      <c r="F494">
        <v>4</v>
      </c>
      <c r="G494" s="5">
        <v>492.1</v>
      </c>
      <c r="H494" t="s">
        <v>16</v>
      </c>
      <c r="I494" t="s">
        <v>19</v>
      </c>
    </row>
    <row r="495" spans="1:9" x14ac:dyDescent="0.3">
      <c r="A495">
        <v>494</v>
      </c>
      <c r="B495" t="s">
        <v>15</v>
      </c>
      <c r="C495" s="2">
        <v>45814</v>
      </c>
      <c r="D495" s="2">
        <v>45837</v>
      </c>
      <c r="E495">
        <v>28</v>
      </c>
      <c r="F495">
        <v>6</v>
      </c>
      <c r="G495" s="5">
        <v>493.1</v>
      </c>
      <c r="H495" t="s">
        <v>16</v>
      </c>
      <c r="I495" t="s">
        <v>35</v>
      </c>
    </row>
    <row r="496" spans="1:9" x14ac:dyDescent="0.3">
      <c r="A496">
        <v>495</v>
      </c>
      <c r="B496" t="s">
        <v>17</v>
      </c>
      <c r="C496" s="2">
        <v>45830</v>
      </c>
      <c r="D496" s="2">
        <v>45847</v>
      </c>
      <c r="E496">
        <v>28</v>
      </c>
      <c r="F496">
        <v>3</v>
      </c>
      <c r="G496" s="5">
        <v>494.1</v>
      </c>
      <c r="H496" t="s">
        <v>25</v>
      </c>
      <c r="I496" t="s">
        <v>14</v>
      </c>
    </row>
    <row r="497" spans="1:9" x14ac:dyDescent="0.3">
      <c r="A497">
        <v>496</v>
      </c>
      <c r="B497" t="s">
        <v>37</v>
      </c>
      <c r="C497" s="2">
        <v>45844</v>
      </c>
      <c r="D497" s="2">
        <v>45859</v>
      </c>
      <c r="E497">
        <v>24</v>
      </c>
      <c r="F497">
        <v>7</v>
      </c>
      <c r="G497" s="5">
        <v>495.1</v>
      </c>
      <c r="H497" t="s">
        <v>16</v>
      </c>
      <c r="I497" t="s">
        <v>35</v>
      </c>
    </row>
    <row r="498" spans="1:9" x14ac:dyDescent="0.3">
      <c r="A498">
        <v>497</v>
      </c>
      <c r="B498" t="s">
        <v>32</v>
      </c>
      <c r="C498" s="2">
        <v>45832</v>
      </c>
      <c r="D498" s="2">
        <v>45855</v>
      </c>
      <c r="E498">
        <v>19</v>
      </c>
      <c r="F498">
        <v>1</v>
      </c>
      <c r="G498" s="5">
        <v>496.1</v>
      </c>
      <c r="H498" t="s">
        <v>25</v>
      </c>
      <c r="I498" t="s">
        <v>24</v>
      </c>
    </row>
    <row r="499" spans="1:9" x14ac:dyDescent="0.3">
      <c r="A499">
        <v>498</v>
      </c>
      <c r="B499" t="s">
        <v>23</v>
      </c>
      <c r="C499" s="2">
        <v>45819</v>
      </c>
      <c r="D499" s="2">
        <v>45843</v>
      </c>
      <c r="E499">
        <v>11</v>
      </c>
      <c r="F499">
        <v>3</v>
      </c>
      <c r="G499" s="5">
        <v>497.1</v>
      </c>
      <c r="H499" t="s">
        <v>10</v>
      </c>
      <c r="I499" t="s">
        <v>21</v>
      </c>
    </row>
    <row r="500" spans="1:9" x14ac:dyDescent="0.3">
      <c r="A500">
        <v>499</v>
      </c>
      <c r="B500" t="s">
        <v>22</v>
      </c>
      <c r="C500" s="2">
        <v>45830</v>
      </c>
      <c r="D500" s="2">
        <v>45846</v>
      </c>
      <c r="E500">
        <v>26</v>
      </c>
      <c r="F500">
        <v>6</v>
      </c>
      <c r="G500" s="5">
        <v>498.1</v>
      </c>
      <c r="H500" t="s">
        <v>10</v>
      </c>
      <c r="I500" t="s">
        <v>21</v>
      </c>
    </row>
    <row r="501" spans="1:9" x14ac:dyDescent="0.3">
      <c r="A501">
        <v>500</v>
      </c>
      <c r="B501" t="s">
        <v>33</v>
      </c>
      <c r="C501" s="2">
        <v>45809</v>
      </c>
      <c r="D501" s="2">
        <v>45834</v>
      </c>
      <c r="E501">
        <v>46</v>
      </c>
      <c r="F501">
        <v>10</v>
      </c>
      <c r="G501" s="5">
        <v>499.1</v>
      </c>
      <c r="H501" t="s">
        <v>10</v>
      </c>
      <c r="I501"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CE1B-A31C-4FA2-ABCF-6E209BA6BC0A}">
  <dimension ref="A3:B5"/>
  <sheetViews>
    <sheetView topLeftCell="A2" workbookViewId="0">
      <selection activeCell="G24" sqref="G24"/>
    </sheetView>
  </sheetViews>
  <sheetFormatPr defaultRowHeight="14.4" x14ac:dyDescent="0.3"/>
  <cols>
    <col min="1" max="1" width="12.44140625" bestFit="1" customWidth="1"/>
    <col min="2" max="2" width="17.44140625" bestFit="1" customWidth="1"/>
    <col min="11" max="11" width="15.77734375" bestFit="1" customWidth="1"/>
    <col min="12" max="12" width="20.77734375" bestFit="1" customWidth="1"/>
  </cols>
  <sheetData>
    <row r="3" spans="1:2" x14ac:dyDescent="0.3">
      <c r="A3" s="3" t="s">
        <v>38</v>
      </c>
      <c r="B3" t="s">
        <v>40</v>
      </c>
    </row>
    <row r="4" spans="1:2" x14ac:dyDescent="0.3">
      <c r="A4" s="4" t="s">
        <v>25</v>
      </c>
      <c r="B4" s="48">
        <v>1</v>
      </c>
    </row>
    <row r="5" spans="1:2" x14ac:dyDescent="0.3">
      <c r="A5" s="4" t="s">
        <v>39</v>
      </c>
      <c r="B5" s="4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B73B-4BED-48B9-B723-B9A77F0A6DC9}">
  <dimension ref="A1:B3"/>
  <sheetViews>
    <sheetView workbookViewId="0">
      <selection activeCell="C24" sqref="C24"/>
    </sheetView>
  </sheetViews>
  <sheetFormatPr defaultRowHeight="14.4" x14ac:dyDescent="0.3"/>
  <cols>
    <col min="1" max="1" width="15.21875" bestFit="1" customWidth="1"/>
    <col min="2" max="2" width="20.77734375" bestFit="1" customWidth="1"/>
  </cols>
  <sheetData>
    <row r="1" spans="1:2" x14ac:dyDescent="0.3">
      <c r="A1" s="3" t="s">
        <v>38</v>
      </c>
      <c r="B1" t="s">
        <v>41</v>
      </c>
    </row>
    <row r="2" spans="1:2" x14ac:dyDescent="0.3">
      <c r="A2" s="4" t="s">
        <v>33</v>
      </c>
      <c r="B2" s="48">
        <v>42</v>
      </c>
    </row>
    <row r="3" spans="1:2" x14ac:dyDescent="0.3">
      <c r="A3" s="4" t="s">
        <v>39</v>
      </c>
      <c r="B3" s="48">
        <v>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8A23-185C-428F-A760-ED701BC753B3}">
  <dimension ref="A2:B7"/>
  <sheetViews>
    <sheetView topLeftCell="J1" workbookViewId="0">
      <selection activeCell="D13" sqref="D13"/>
    </sheetView>
  </sheetViews>
  <sheetFormatPr defaultRowHeight="14.4" x14ac:dyDescent="0.3"/>
  <cols>
    <col min="1" max="1" width="34.44140625" bestFit="1" customWidth="1"/>
    <col min="2" max="2" width="11.44140625" bestFit="1" customWidth="1"/>
  </cols>
  <sheetData>
    <row r="2" spans="1:2" ht="18" x14ac:dyDescent="0.3">
      <c r="A2" s="6" t="s">
        <v>42</v>
      </c>
      <c r="B2" s="7" t="s">
        <v>43</v>
      </c>
    </row>
    <row r="3" spans="1:2" ht="15.6" x14ac:dyDescent="0.3">
      <c r="A3" s="8" t="s">
        <v>44</v>
      </c>
      <c r="B3" s="9">
        <f>COUNTA('Skill data'!B3:B502)</f>
        <v>499</v>
      </c>
    </row>
    <row r="4" spans="1:2" ht="15.6" x14ac:dyDescent="0.3">
      <c r="A4" s="8" t="s">
        <v>48</v>
      </c>
      <c r="B4" s="9">
        <f>SUM('Skill data'!E3:E502)</f>
        <v>15382</v>
      </c>
    </row>
    <row r="5" spans="1:2" ht="15.6" x14ac:dyDescent="0.3">
      <c r="A5" s="8" t="s">
        <v>47</v>
      </c>
      <c r="B5" s="10">
        <f>AVERAGE('Skill data'!G3:G502)/100</f>
        <v>2.5010000000000114</v>
      </c>
    </row>
    <row r="6" spans="1:2" ht="15.6" x14ac:dyDescent="0.3">
      <c r="A6" s="8" t="s">
        <v>46</v>
      </c>
      <c r="B6" s="9">
        <f>COUNTIF('Skill data'!H3:H502, "Completed")</f>
        <v>120</v>
      </c>
    </row>
    <row r="7" spans="1:2" ht="15.6" x14ac:dyDescent="0.3">
      <c r="A7" s="11" t="s">
        <v>45</v>
      </c>
      <c r="B7" s="12">
        <f>COUNTIF('Skill data'!H3:H502, "In Progress")</f>
        <v>126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B021-2AAC-465A-825E-4382C89F86D3}">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8631-9477-401C-812C-24643FA17ABE}">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4D86-6FC5-415D-8CAC-14D748AA9F6D}">
  <dimension ref="A2:B4"/>
  <sheetViews>
    <sheetView workbookViewId="0">
      <selection activeCell="T14" sqref="T14"/>
    </sheetView>
  </sheetViews>
  <sheetFormatPr defaultRowHeight="14.4" x14ac:dyDescent="0.3"/>
  <cols>
    <col min="1" max="1" width="15.21875" bestFit="1" customWidth="1"/>
    <col min="2" max="2" width="21.44140625" bestFit="1" customWidth="1"/>
  </cols>
  <sheetData>
    <row r="2" spans="1:2" x14ac:dyDescent="0.3">
      <c r="A2" s="3" t="s">
        <v>38</v>
      </c>
      <c r="B2" t="s">
        <v>51</v>
      </c>
    </row>
    <row r="3" spans="1:2" x14ac:dyDescent="0.3">
      <c r="A3" s="4" t="s">
        <v>33</v>
      </c>
      <c r="B3" s="48">
        <v>24.1</v>
      </c>
    </row>
    <row r="4" spans="1:2" x14ac:dyDescent="0.3">
      <c r="A4" s="4" t="s">
        <v>39</v>
      </c>
      <c r="B4" s="48">
        <v>24.1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E965-EABD-4E8D-8A09-E4CD5AB95C13}">
  <dimension ref="A3:B5"/>
  <sheetViews>
    <sheetView workbookViewId="0">
      <selection activeCell="B12" sqref="B12"/>
    </sheetView>
  </sheetViews>
  <sheetFormatPr defaultRowHeight="14.4" x14ac:dyDescent="0.3"/>
  <cols>
    <col min="1" max="1" width="12.44140625" bestFit="1" customWidth="1"/>
    <col min="2" max="2" width="17.44140625" bestFit="1" customWidth="1"/>
  </cols>
  <sheetData>
    <row r="3" spans="1:2" x14ac:dyDescent="0.3">
      <c r="A3" s="3" t="s">
        <v>38</v>
      </c>
      <c r="B3" t="s">
        <v>40</v>
      </c>
    </row>
    <row r="4" spans="1:2" x14ac:dyDescent="0.3">
      <c r="A4" s="4" t="s">
        <v>52</v>
      </c>
      <c r="B4" s="48">
        <v>1</v>
      </c>
    </row>
    <row r="5" spans="1:2" x14ac:dyDescent="0.3">
      <c r="A5" s="4" t="s">
        <v>39</v>
      </c>
      <c r="B5" s="4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FDD5-D218-4DAF-B6B2-AE62364CB569}">
  <dimension ref="A3:B8"/>
  <sheetViews>
    <sheetView workbookViewId="0">
      <selection activeCell="M12" sqref="M12"/>
    </sheetView>
  </sheetViews>
  <sheetFormatPr defaultRowHeight="14.4" x14ac:dyDescent="0.3"/>
  <cols>
    <col min="1" max="1" width="15.21875" bestFit="1" customWidth="1"/>
    <col min="2" max="2" width="12.33203125" bestFit="1" customWidth="1"/>
  </cols>
  <sheetData>
    <row r="3" spans="1:2" x14ac:dyDescent="0.3">
      <c r="A3" s="39" t="s">
        <v>1</v>
      </c>
      <c r="B3" s="39" t="s">
        <v>6</v>
      </c>
    </row>
    <row r="4" spans="1:2" x14ac:dyDescent="0.3">
      <c r="A4" s="35" t="s">
        <v>33</v>
      </c>
      <c r="B4" s="36">
        <v>499.1</v>
      </c>
    </row>
    <row r="5" spans="1:2" x14ac:dyDescent="0.3">
      <c r="A5" s="37" t="s">
        <v>22</v>
      </c>
      <c r="B5" s="38">
        <v>498.1</v>
      </c>
    </row>
    <row r="6" spans="1:2" x14ac:dyDescent="0.3">
      <c r="A6" s="35" t="s">
        <v>23</v>
      </c>
      <c r="B6" s="36">
        <v>497.1</v>
      </c>
    </row>
    <row r="7" spans="1:2" x14ac:dyDescent="0.3">
      <c r="A7" s="37" t="s">
        <v>32</v>
      </c>
      <c r="B7" s="38">
        <v>496.1</v>
      </c>
    </row>
    <row r="8" spans="1:2" x14ac:dyDescent="0.3">
      <c r="A8" s="35" t="s">
        <v>37</v>
      </c>
      <c r="B8" s="36">
        <v>495.1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E97E-FA34-47ED-93C5-7170922E58CE}">
  <dimension ref="A2:B3"/>
  <sheetViews>
    <sheetView workbookViewId="0">
      <selection activeCell="B14" sqref="B14"/>
    </sheetView>
  </sheetViews>
  <sheetFormatPr defaultRowHeight="14.4" x14ac:dyDescent="0.3"/>
  <cols>
    <col min="1" max="1" width="12.44140625" bestFit="1" customWidth="1"/>
    <col min="2" max="2" width="21.44140625" bestFit="1" customWidth="1"/>
  </cols>
  <sheetData>
    <row r="2" spans="1:2" x14ac:dyDescent="0.3">
      <c r="A2" s="3" t="s">
        <v>38</v>
      </c>
      <c r="B2" t="s">
        <v>51</v>
      </c>
    </row>
    <row r="3" spans="1:2" x14ac:dyDescent="0.3">
      <c r="A3" s="15" t="s">
        <v>39</v>
      </c>
      <c r="B3" s="48"/>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B528-90F3-4BF6-9B74-DEE963933254}">
  <dimension ref="A1:E38"/>
  <sheetViews>
    <sheetView topLeftCell="A25" zoomScaleNormal="107" workbookViewId="0">
      <selection activeCell="D18" sqref="D18"/>
    </sheetView>
  </sheetViews>
  <sheetFormatPr defaultRowHeight="14.4" x14ac:dyDescent="0.3"/>
  <cols>
    <col min="1" max="1" width="33" customWidth="1"/>
    <col min="11" max="11" width="8.109375" customWidth="1"/>
    <col min="15" max="15" width="8.109375" customWidth="1"/>
  </cols>
  <sheetData>
    <row r="1" spans="1:5" ht="40.799999999999997" customHeight="1" x14ac:dyDescent="0.9">
      <c r="E1" s="18" t="s">
        <v>54</v>
      </c>
    </row>
    <row r="5" spans="1:5" ht="25.8" customHeight="1" x14ac:dyDescent="0.3">
      <c r="A5" s="19" t="s">
        <v>55</v>
      </c>
    </row>
    <row r="7" spans="1:5" ht="33" customHeight="1" x14ac:dyDescent="0.45">
      <c r="A7" s="20" t="s">
        <v>61</v>
      </c>
    </row>
    <row r="11" spans="1:5" ht="25.8" x14ac:dyDescent="0.5">
      <c r="A11" s="22" t="s">
        <v>56</v>
      </c>
    </row>
    <row r="13" spans="1:5" ht="18" x14ac:dyDescent="0.35">
      <c r="A13" t="s">
        <v>63</v>
      </c>
    </row>
    <row r="14" spans="1:5" ht="21" x14ac:dyDescent="0.4">
      <c r="A14" s="24" t="s">
        <v>64</v>
      </c>
    </row>
    <row r="15" spans="1:5" ht="18" x14ac:dyDescent="0.35">
      <c r="A15" s="13" t="s">
        <v>59</v>
      </c>
    </row>
    <row r="16" spans="1:5" ht="18" x14ac:dyDescent="0.35">
      <c r="A16" s="13" t="s">
        <v>60</v>
      </c>
    </row>
    <row r="17" spans="1:2" ht="18" x14ac:dyDescent="0.35">
      <c r="A17" s="13" t="s">
        <v>58</v>
      </c>
    </row>
    <row r="18" spans="1:2" ht="18" x14ac:dyDescent="0.35">
      <c r="A18" s="13" t="s">
        <v>57</v>
      </c>
    </row>
    <row r="20" spans="1:2" ht="13.8" customHeight="1" x14ac:dyDescent="0.45">
      <c r="A20" s="25" t="s">
        <v>62</v>
      </c>
    </row>
    <row r="21" spans="1:2" ht="24" customHeight="1" x14ac:dyDescent="0.45">
      <c r="A21" s="46" t="s">
        <v>65</v>
      </c>
      <c r="B21" s="40" t="s">
        <v>79</v>
      </c>
    </row>
    <row r="22" spans="1:2" ht="18" x14ac:dyDescent="0.3">
      <c r="A22" s="41" t="s">
        <v>66</v>
      </c>
      <c r="B22" s="42">
        <v>500</v>
      </c>
    </row>
    <row r="23" spans="1:2" ht="18" x14ac:dyDescent="0.3">
      <c r="A23" s="41" t="s">
        <v>67</v>
      </c>
      <c r="B23" s="43">
        <v>120</v>
      </c>
    </row>
    <row r="24" spans="1:2" ht="18" x14ac:dyDescent="0.35">
      <c r="A24" s="44" t="s">
        <v>68</v>
      </c>
      <c r="B24" s="45">
        <v>2.496</v>
      </c>
    </row>
    <row r="25" spans="1:2" ht="18" x14ac:dyDescent="0.35">
      <c r="A25" s="44" t="s">
        <v>69</v>
      </c>
      <c r="B25" s="43">
        <v>15397</v>
      </c>
    </row>
    <row r="28" spans="1:2" ht="21" x14ac:dyDescent="0.4">
      <c r="A28" t="s">
        <v>70</v>
      </c>
    </row>
    <row r="29" spans="1:2" ht="18" x14ac:dyDescent="0.35">
      <c r="A29" s="13" t="s">
        <v>71</v>
      </c>
    </row>
    <row r="30" spans="1:2" ht="37.799999999999997" customHeight="1" x14ac:dyDescent="0.35">
      <c r="A30" s="23" t="s">
        <v>72</v>
      </c>
    </row>
    <row r="31" spans="1:2" ht="18" x14ac:dyDescent="0.35">
      <c r="A31" s="13" t="s">
        <v>73</v>
      </c>
    </row>
    <row r="32" spans="1:2" ht="18" x14ac:dyDescent="0.35">
      <c r="A32" s="13" t="s">
        <v>74</v>
      </c>
    </row>
    <row r="35" spans="1:1" ht="23.4" x14ac:dyDescent="0.45">
      <c r="A35" s="26" t="s">
        <v>75</v>
      </c>
    </row>
    <row r="36" spans="1:1" ht="18" x14ac:dyDescent="0.35">
      <c r="A36" s="13" t="s">
        <v>76</v>
      </c>
    </row>
    <row r="37" spans="1:1" ht="36" x14ac:dyDescent="0.35">
      <c r="A37" s="21" t="s">
        <v>77</v>
      </c>
    </row>
    <row r="38" spans="1:1" ht="54" x14ac:dyDescent="0.35">
      <c r="A38" s="21" t="s">
        <v>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242F-F241-4F5D-82A7-5236BB8B49EC}">
  <dimension ref="A2:B4"/>
  <sheetViews>
    <sheetView workbookViewId="0">
      <selection activeCell="K21" sqref="K21"/>
    </sheetView>
  </sheetViews>
  <sheetFormatPr defaultRowHeight="14.4" x14ac:dyDescent="0.3"/>
  <cols>
    <col min="1" max="1" width="14.88671875" bestFit="1" customWidth="1"/>
    <col min="2" max="2" width="9.6640625" bestFit="1" customWidth="1"/>
  </cols>
  <sheetData>
    <row r="2" spans="1:2" ht="18" x14ac:dyDescent="0.35">
      <c r="A2" s="13" t="s">
        <v>49</v>
      </c>
      <c r="B2" s="13" t="s">
        <v>50</v>
      </c>
    </row>
    <row r="3" spans="1:2" ht="15.6" x14ac:dyDescent="0.3">
      <c r="A3" s="14" t="s">
        <v>13</v>
      </c>
      <c r="B3" s="14">
        <v>120</v>
      </c>
    </row>
    <row r="4" spans="1:2" ht="15.6" x14ac:dyDescent="0.3">
      <c r="A4" s="14" t="s">
        <v>16</v>
      </c>
      <c r="B4" s="14">
        <v>126</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05FA9-C61C-4D3D-91DC-74A1C3BA9145}">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EFCB-6B4E-40D9-B3EC-BD5AE4E0BB14}">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AB030-1D77-4B71-907D-D5C22B9591C6}">
  <dimension ref="A1"/>
  <sheetViews>
    <sheetView workbookViewId="0"/>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E0C4B-2B5F-4E98-8F44-B6F6F79BB31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Skill data</vt:lpstr>
      <vt:lpstr>Skill Progress Overview</vt:lpstr>
      <vt:lpstr>Time Spent per Skill</vt:lpstr>
      <vt:lpstr>Sheet1</vt:lpstr>
      <vt:lpstr>Sheet2</vt:lpstr>
      <vt:lpstr>Sheet3</vt:lpstr>
      <vt:lpstr>Average Confidence by Category</vt:lpstr>
      <vt:lpstr>Skills Added Monthly</vt:lpstr>
      <vt:lpstr>Top 5 Skills by Confidence</vt:lpstr>
      <vt:lpstr>Confidence Progress Over Time</vt:lpstr>
      <vt:lpstr>Project Info</vt:lpstr>
      <vt:lpstr>Skill Completion Status</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Dhakane</dc:creator>
  <cp:lastModifiedBy>Vaishnavi Dhakane</cp:lastModifiedBy>
  <dcterms:created xsi:type="dcterms:W3CDTF">2025-07-24T14:10:05Z</dcterms:created>
  <dcterms:modified xsi:type="dcterms:W3CDTF">2025-12-21T14:55:28Z</dcterms:modified>
</cp:coreProperties>
</file>